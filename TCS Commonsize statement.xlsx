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rank\Desktop\"/>
    </mc:Choice>
  </mc:AlternateContent>
  <xr:revisionPtr revIDLastSave="0" documentId="13_ncr:1_{F96FE3E4-3C32-436E-A959-F6193A61B870}" xr6:coauthVersionLast="47" xr6:coauthVersionMax="47" xr10:uidLastSave="{00000000-0000-0000-0000-000000000000}"/>
  <bookViews>
    <workbookView xWindow="-120" yWindow="-120" windowWidth="20730" windowHeight="11040" firstSheet="5" activeTab="5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Data Sheet" sheetId="6" r:id="rId6"/>
    <sheet name="DATA FOR WACC" sheetId="19" r:id="rId7"/>
    <sheet name="Common Size Statement" sheetId="14" r:id="rId8"/>
    <sheet name="Capital  Budgeting" sheetId="15" r:id="rId9"/>
    <sheet name="Leverage" sheetId="16" r:id="rId10"/>
    <sheet name="WACC" sheetId="17" r:id="rId11"/>
    <sheet name="Bond Analysis" sheetId="20" r:id="rId12"/>
    <sheet name="Investment Portfolio" sheetId="21" r:id="rId13"/>
    <sheet name="Dividend Analysis" sheetId="22" r:id="rId14"/>
  </sheets>
  <externalReferences>
    <externalReference r:id="rId15"/>
  </externalReferences>
  <definedNames>
    <definedName name="Stocks__Total_40">'Investment Portfolio'!$B$6:$B$7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6" i="22" l="1"/>
  <c r="O27" i="22" s="1"/>
  <c r="N26" i="22"/>
  <c r="N27" i="22" s="1"/>
  <c r="M26" i="22"/>
  <c r="O24" i="22"/>
  <c r="N24" i="22"/>
  <c r="M24" i="22"/>
  <c r="H24" i="22"/>
  <c r="M27" i="22"/>
  <c r="O22" i="22"/>
  <c r="N22" i="22"/>
  <c r="J26" i="22"/>
  <c r="J27" i="22" s="1"/>
  <c r="I26" i="22"/>
  <c r="I27" i="22" s="1"/>
  <c r="H26" i="22"/>
  <c r="H27" i="22" s="1"/>
  <c r="J24" i="22"/>
  <c r="I24" i="22"/>
  <c r="J22" i="22"/>
  <c r="I22" i="22"/>
  <c r="E26" i="22"/>
  <c r="E27" i="22" s="1"/>
  <c r="D26" i="22"/>
  <c r="D27" i="22" s="1"/>
  <c r="C26" i="22"/>
  <c r="C27" i="22" s="1"/>
  <c r="E24" i="22"/>
  <c r="D24" i="22"/>
  <c r="C24" i="22"/>
  <c r="E22" i="22"/>
  <c r="D22" i="22"/>
  <c r="E14" i="21"/>
  <c r="D14" i="21"/>
  <c r="E19" i="17"/>
  <c r="E11" i="17"/>
  <c r="E10" i="17"/>
  <c r="E9" i="17"/>
  <c r="C30" i="17" s="1"/>
  <c r="D11" i="17"/>
  <c r="D10" i="17"/>
  <c r="D9" i="17"/>
  <c r="C29" i="17" s="1"/>
  <c r="E20" i="17"/>
  <c r="J30" i="17" s="1"/>
  <c r="J20" i="17"/>
  <c r="I14" i="17"/>
  <c r="F14" i="17"/>
  <c r="I13" i="17"/>
  <c r="F13" i="17"/>
  <c r="H11" i="17" l="1"/>
  <c r="G10" i="17"/>
  <c r="J10" i="17" s="1"/>
  <c r="G11" i="17"/>
  <c r="J11" i="17" s="1"/>
  <c r="E21" i="17"/>
  <c r="J38" i="17" s="1"/>
  <c r="H9" i="17"/>
  <c r="C31" i="17"/>
  <c r="D31" i="17" s="1"/>
  <c r="E31" i="17" s="1"/>
  <c r="H10" i="17"/>
  <c r="G9" i="17"/>
  <c r="H13" i="17" l="1"/>
  <c r="E29" i="17" s="1"/>
  <c r="E30" i="17" s="1"/>
  <c r="J36" i="17" s="1"/>
  <c r="H14" i="17"/>
  <c r="D29" i="17"/>
  <c r="D30" i="17"/>
  <c r="G13" i="17"/>
  <c r="J9" i="17"/>
  <c r="G14" i="17"/>
  <c r="J39" i="17" l="1"/>
  <c r="E34" i="17"/>
  <c r="J29" i="17" s="1"/>
  <c r="D34" i="17"/>
  <c r="J14" i="17"/>
  <c r="J28" i="17" s="1"/>
  <c r="J13" i="17"/>
  <c r="D5" i="16"/>
  <c r="D7" i="16" s="1"/>
  <c r="D9" i="16" s="1"/>
  <c r="D12" i="16" s="1"/>
  <c r="E23" i="15"/>
  <c r="E24" i="15" s="1"/>
  <c r="E25" i="15" s="1"/>
  <c r="E26" i="15" s="1"/>
  <c r="D23" i="15" a="1"/>
  <c r="D23" i="15" s="1"/>
  <c r="F23" i="15" s="1"/>
  <c r="C24" i="15"/>
  <c r="C25" i="15" s="1"/>
  <c r="C26" i="15" s="1"/>
  <c r="G20" i="15"/>
  <c r="D14" i="15"/>
  <c r="D13" i="15"/>
  <c r="C9" i="15"/>
  <c r="D9" i="15" s="1"/>
  <c r="E9" i="15" s="1"/>
  <c r="F9" i="15" s="1"/>
  <c r="G9" i="15" s="1"/>
  <c r="D7" i="15"/>
  <c r="E7" i="15" s="1"/>
  <c r="F7" i="15" s="1"/>
  <c r="G7" i="15" s="1"/>
  <c r="B26" i="14"/>
  <c r="D11" i="16" l="1"/>
  <c r="D13" i="16" s="1"/>
  <c r="J31" i="17"/>
  <c r="J21" i="17" s="1"/>
  <c r="J22" i="17" s="1"/>
  <c r="J35" i="17" s="1"/>
  <c r="J40" i="17" s="1"/>
  <c r="F24" i="15"/>
  <c r="F25" i="15"/>
  <c r="F26" i="15"/>
  <c r="D15" i="15"/>
  <c r="K19" i="14"/>
  <c r="J19" i="14"/>
  <c r="I19" i="14"/>
  <c r="H19" i="14"/>
  <c r="G19" i="14"/>
  <c r="F19" i="14"/>
  <c r="E19" i="14"/>
  <c r="D19" i="14"/>
  <c r="C19" i="14"/>
  <c r="B19" i="14"/>
  <c r="K23" i="14"/>
  <c r="J23" i="14"/>
  <c r="I23" i="14"/>
  <c r="H23" i="14"/>
  <c r="G23" i="14"/>
  <c r="F23" i="14"/>
  <c r="E23" i="14"/>
  <c r="D23" i="14"/>
  <c r="C23" i="14"/>
  <c r="B23" i="14"/>
  <c r="B8" i="14"/>
  <c r="C8" i="14"/>
  <c r="D8" i="14"/>
  <c r="D11" i="14" s="1"/>
  <c r="D32" i="14" s="1"/>
  <c r="E8" i="14"/>
  <c r="F8" i="14"/>
  <c r="G8" i="14"/>
  <c r="H8" i="14"/>
  <c r="I8" i="14"/>
  <c r="J8" i="14"/>
  <c r="K8" i="14"/>
  <c r="B29" i="14"/>
  <c r="K26" i="14"/>
  <c r="J26" i="14"/>
  <c r="I26" i="14"/>
  <c r="H26" i="14"/>
  <c r="G26" i="14"/>
  <c r="F26" i="14"/>
  <c r="E26" i="14"/>
  <c r="D26" i="14"/>
  <c r="K20" i="14"/>
  <c r="J20" i="14"/>
  <c r="I20" i="14"/>
  <c r="H20" i="14"/>
  <c r="G20" i="14"/>
  <c r="F20" i="14"/>
  <c r="E20" i="14"/>
  <c r="D20" i="14"/>
  <c r="K17" i="14"/>
  <c r="J17" i="14"/>
  <c r="I17" i="14"/>
  <c r="H17" i="14"/>
  <c r="G17" i="14"/>
  <c r="F17" i="14"/>
  <c r="E17" i="14"/>
  <c r="D17" i="14"/>
  <c r="K16" i="14"/>
  <c r="J16" i="14"/>
  <c r="I16" i="14"/>
  <c r="H16" i="14"/>
  <c r="G16" i="14"/>
  <c r="F16" i="14"/>
  <c r="E16" i="14"/>
  <c r="D16" i="14"/>
  <c r="K14" i="14"/>
  <c r="J14" i="14"/>
  <c r="I14" i="14"/>
  <c r="H14" i="14"/>
  <c r="G14" i="14"/>
  <c r="F14" i="14"/>
  <c r="E14" i="14"/>
  <c r="D14" i="14"/>
  <c r="K13" i="14"/>
  <c r="J13" i="14"/>
  <c r="I13" i="14"/>
  <c r="H13" i="14"/>
  <c r="G13" i="14"/>
  <c r="F13" i="14"/>
  <c r="E13" i="14"/>
  <c r="D13" i="14"/>
  <c r="K10" i="14"/>
  <c r="J10" i="14"/>
  <c r="I10" i="14"/>
  <c r="H10" i="14"/>
  <c r="G10" i="14"/>
  <c r="F10" i="14"/>
  <c r="E10" i="14"/>
  <c r="D10" i="14"/>
  <c r="K9" i="14"/>
  <c r="J9" i="14"/>
  <c r="I9" i="14"/>
  <c r="H9" i="14"/>
  <c r="G9" i="14"/>
  <c r="F9" i="14"/>
  <c r="E9" i="14"/>
  <c r="D9" i="14"/>
  <c r="K7" i="14"/>
  <c r="K31" i="14" s="1"/>
  <c r="J7" i="14"/>
  <c r="J31" i="14" s="1"/>
  <c r="I7" i="14"/>
  <c r="I31" i="14" s="1"/>
  <c r="H7" i="14"/>
  <c r="H31" i="14" s="1"/>
  <c r="G7" i="14"/>
  <c r="G31" i="14" s="1"/>
  <c r="F7" i="14"/>
  <c r="F31" i="14" s="1"/>
  <c r="E7" i="14"/>
  <c r="E31" i="14" s="1"/>
  <c r="D7" i="14"/>
  <c r="D31" i="14" s="1"/>
  <c r="C26" i="14"/>
  <c r="C20" i="14"/>
  <c r="C39" i="14" s="1"/>
  <c r="C17" i="14"/>
  <c r="C37" i="14" s="1"/>
  <c r="C16" i="14"/>
  <c r="C14" i="14"/>
  <c r="C13" i="14"/>
  <c r="C10" i="14"/>
  <c r="C9" i="14"/>
  <c r="C7" i="14"/>
  <c r="C31" i="14" s="1"/>
  <c r="B21" i="14"/>
  <c r="B20" i="14"/>
  <c r="B18" i="14"/>
  <c r="B17" i="14"/>
  <c r="B16" i="14"/>
  <c r="B14" i="14"/>
  <c r="B13" i="14"/>
  <c r="B10" i="14"/>
  <c r="B9" i="14"/>
  <c r="B7" i="14"/>
  <c r="K4" i="14"/>
  <c r="J4" i="14"/>
  <c r="I4" i="14"/>
  <c r="H4" i="14"/>
  <c r="G4" i="14"/>
  <c r="F4" i="14"/>
  <c r="E4" i="14"/>
  <c r="D4" i="14"/>
  <c r="C4" i="14"/>
  <c r="C34" i="14" l="1"/>
  <c r="I11" i="14"/>
  <c r="I12" i="14" s="1"/>
  <c r="F27" i="15"/>
  <c r="E29" i="15" s="1"/>
  <c r="C36" i="14"/>
  <c r="E34" i="14"/>
  <c r="E36" i="14"/>
  <c r="E37" i="14"/>
  <c r="E39" i="14"/>
  <c r="F34" i="14"/>
  <c r="F36" i="14"/>
  <c r="F37" i="14"/>
  <c r="F39" i="14"/>
  <c r="G34" i="14"/>
  <c r="G36" i="14"/>
  <c r="G37" i="14"/>
  <c r="G39" i="14"/>
  <c r="I32" i="14"/>
  <c r="H34" i="14"/>
  <c r="H36" i="14"/>
  <c r="H37" i="14"/>
  <c r="H39" i="14"/>
  <c r="I34" i="14"/>
  <c r="I36" i="14"/>
  <c r="I37" i="14"/>
  <c r="I39" i="14"/>
  <c r="J34" i="14"/>
  <c r="J36" i="14"/>
  <c r="J37" i="14"/>
  <c r="J39" i="14"/>
  <c r="K34" i="14"/>
  <c r="K36" i="14"/>
  <c r="K37" i="14"/>
  <c r="K39" i="14"/>
  <c r="D34" i="14"/>
  <c r="D36" i="14"/>
  <c r="D37" i="14"/>
  <c r="D39" i="14"/>
  <c r="C11" i="14"/>
  <c r="H11" i="14"/>
  <c r="F11" i="14"/>
  <c r="K11" i="14"/>
  <c r="E11" i="14"/>
  <c r="G11" i="14"/>
  <c r="D12" i="14"/>
  <c r="J11" i="14"/>
  <c r="F12" i="14" l="1"/>
  <c r="F32" i="14"/>
  <c r="I15" i="14"/>
  <c r="I33" i="14"/>
  <c r="H12" i="14"/>
  <c r="H32" i="14"/>
  <c r="C12" i="14"/>
  <c r="C32" i="14"/>
  <c r="J12" i="14"/>
  <c r="J32" i="14"/>
  <c r="D15" i="14"/>
  <c r="D33" i="14"/>
  <c r="G12" i="14"/>
  <c r="G32" i="14"/>
  <c r="E12" i="14"/>
  <c r="E32" i="14"/>
  <c r="K12" i="14"/>
  <c r="K32" i="14"/>
  <c r="E15" i="14" l="1"/>
  <c r="E33" i="14"/>
  <c r="C15" i="14"/>
  <c r="C33" i="14"/>
  <c r="G15" i="14"/>
  <c r="G33" i="14"/>
  <c r="H15" i="14"/>
  <c r="H33" i="14"/>
  <c r="D18" i="14"/>
  <c r="D35" i="14"/>
  <c r="I18" i="14"/>
  <c r="I35" i="14"/>
  <c r="K15" i="14"/>
  <c r="K33" i="14"/>
  <c r="J15" i="14"/>
  <c r="J33" i="14"/>
  <c r="F15" i="14"/>
  <c r="F33" i="14"/>
  <c r="J18" i="14" l="1"/>
  <c r="J35" i="14"/>
  <c r="H18" i="14"/>
  <c r="H35" i="14"/>
  <c r="K18" i="14"/>
  <c r="K35" i="14"/>
  <c r="G18" i="14"/>
  <c r="G35" i="14"/>
  <c r="I21" i="14"/>
  <c r="I38" i="14"/>
  <c r="C18" i="14"/>
  <c r="C35" i="14"/>
  <c r="F18" i="14"/>
  <c r="F35" i="14"/>
  <c r="D21" i="14"/>
  <c r="D38" i="14"/>
  <c r="E18" i="14"/>
  <c r="E35" i="14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G21" i="2" s="1"/>
  <c r="H18" i="2"/>
  <c r="H21" i="2" s="1"/>
  <c r="I18" i="2"/>
  <c r="J18" i="2"/>
  <c r="J21" i="2" s="1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F14" i="3" s="1"/>
  <c r="G4" i="3"/>
  <c r="G14" i="3" s="1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F4" i="1"/>
  <c r="F20" i="2" s="1"/>
  <c r="G4" i="1"/>
  <c r="H4" i="1"/>
  <c r="I4" i="1"/>
  <c r="I6" i="1" s="1"/>
  <c r="I19" i="1" s="1"/>
  <c r="J4" i="1"/>
  <c r="K4" i="1"/>
  <c r="H23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B20" i="2" s="1"/>
  <c r="A1" i="1"/>
  <c r="A1" i="3" s="1"/>
  <c r="E1" i="6"/>
  <c r="H1" i="1" s="1"/>
  <c r="F16" i="2"/>
  <c r="J6" i="1"/>
  <c r="J19" i="1" s="1"/>
  <c r="C6" i="1"/>
  <c r="C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21" i="2"/>
  <c r="B13" i="2"/>
  <c r="B16" i="2" s="1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G20" i="2"/>
  <c r="E20" i="2"/>
  <c r="A1" i="2"/>
  <c r="A1" i="4" s="1"/>
  <c r="K20" i="2" l="1"/>
  <c r="C20" i="2"/>
  <c r="C23" i="2"/>
  <c r="I21" i="2"/>
  <c r="J20" i="2"/>
  <c r="C14" i="1"/>
  <c r="J14" i="1"/>
  <c r="D16" i="2"/>
  <c r="F21" i="2"/>
  <c r="J14" i="3"/>
  <c r="G14" i="1"/>
  <c r="H14" i="3"/>
  <c r="D40" i="14"/>
  <c r="D44" i="14"/>
  <c r="D45" i="14" s="1"/>
  <c r="D27" i="14"/>
  <c r="D24" i="14"/>
  <c r="G21" i="14"/>
  <c r="G38" i="14"/>
  <c r="F21" i="14"/>
  <c r="F38" i="14"/>
  <c r="K21" i="14"/>
  <c r="K38" i="14"/>
  <c r="C21" i="14"/>
  <c r="C38" i="14"/>
  <c r="H21" i="14"/>
  <c r="H38" i="14"/>
  <c r="E21" i="14"/>
  <c r="E38" i="14"/>
  <c r="I40" i="14"/>
  <c r="I44" i="14"/>
  <c r="I45" i="14" s="1"/>
  <c r="I27" i="14"/>
  <c r="I24" i="14"/>
  <c r="J21" i="14"/>
  <c r="J38" i="14"/>
  <c r="L6" i="1"/>
  <c r="K6" i="1"/>
  <c r="K19" i="1" s="1"/>
  <c r="K14" i="1"/>
  <c r="L9" i="1"/>
  <c r="M9" i="1" s="1"/>
  <c r="L8" i="1"/>
  <c r="N8" i="1" s="1"/>
  <c r="L7" i="1"/>
  <c r="E16" i="2"/>
  <c r="K21" i="2"/>
  <c r="G6" i="1"/>
  <c r="G19" i="1" s="1"/>
  <c r="E24" i="2"/>
  <c r="D20" i="2"/>
  <c r="C21" i="2"/>
  <c r="B6" i="1"/>
  <c r="B19" i="1" s="1"/>
  <c r="D23" i="2"/>
  <c r="L5" i="1"/>
  <c r="I14" i="3"/>
  <c r="J16" i="2"/>
  <c r="G16" i="2"/>
  <c r="G23" i="2"/>
  <c r="I23" i="1"/>
  <c r="D21" i="2"/>
  <c r="F14" i="1"/>
  <c r="L12" i="1"/>
  <c r="L13" i="1" s="1"/>
  <c r="L14" i="1" s="1"/>
  <c r="L25" i="1" s="1"/>
  <c r="L11" i="1"/>
  <c r="L10" i="1"/>
  <c r="F23" i="2"/>
  <c r="N11" i="1"/>
  <c r="H23" i="2"/>
  <c r="D24" i="2"/>
  <c r="I24" i="2"/>
  <c r="J24" i="2"/>
  <c r="L4" i="1"/>
  <c r="L23" i="1" s="1"/>
  <c r="E6" i="1"/>
  <c r="E19" i="1" s="1"/>
  <c r="K23" i="2"/>
  <c r="I14" i="1"/>
  <c r="K25" i="1" s="1"/>
  <c r="M25" i="1" s="1"/>
  <c r="M14" i="1" s="1"/>
  <c r="C24" i="2"/>
  <c r="H24" i="2"/>
  <c r="J23" i="1"/>
  <c r="B23" i="2"/>
  <c r="H14" i="1"/>
  <c r="G24" i="2"/>
  <c r="D13" i="1"/>
  <c r="E13" i="1" s="1"/>
  <c r="E14" i="1" s="1"/>
  <c r="K24" i="1"/>
  <c r="J23" i="2"/>
  <c r="E21" i="2"/>
  <c r="E1" i="3"/>
  <c r="B14" i="1"/>
  <c r="I16" i="2"/>
  <c r="K24" i="2"/>
  <c r="E1" i="2"/>
  <c r="I23" i="2"/>
  <c r="F24" i="2"/>
  <c r="J25" i="1"/>
  <c r="N9" i="1"/>
  <c r="I20" i="2"/>
  <c r="H20" i="2"/>
  <c r="K23" i="1"/>
  <c r="H6" i="1"/>
  <c r="H19" i="1" s="1"/>
  <c r="J24" i="1" s="1"/>
  <c r="F6" i="1"/>
  <c r="F19" i="1" s="1"/>
  <c r="I24" i="1" s="1"/>
  <c r="E1" i="4"/>
  <c r="N23" i="1" l="1"/>
  <c r="N4" i="1" s="1"/>
  <c r="M11" i="1"/>
  <c r="M8" i="1"/>
  <c r="E40" i="14"/>
  <c r="E44" i="14"/>
  <c r="E45" i="14" s="1"/>
  <c r="E27" i="14"/>
  <c r="E24" i="14"/>
  <c r="E42" i="14" s="1"/>
  <c r="F40" i="14"/>
  <c r="F44" i="14"/>
  <c r="F45" i="14" s="1"/>
  <c r="F27" i="14"/>
  <c r="F24" i="14"/>
  <c r="J40" i="14"/>
  <c r="J44" i="14"/>
  <c r="J45" i="14" s="1"/>
  <c r="J27" i="14"/>
  <c r="J24" i="14"/>
  <c r="J42" i="14" s="1"/>
  <c r="H40" i="14"/>
  <c r="H44" i="14"/>
  <c r="H45" i="14" s="1"/>
  <c r="H27" i="14"/>
  <c r="H24" i="14"/>
  <c r="G40" i="14"/>
  <c r="G44" i="14"/>
  <c r="G45" i="14" s="1"/>
  <c r="G27" i="14"/>
  <c r="G24" i="14"/>
  <c r="D42" i="14"/>
  <c r="C40" i="14"/>
  <c r="C44" i="14"/>
  <c r="C45" i="14" s="1"/>
  <c r="C27" i="14"/>
  <c r="C24" i="14"/>
  <c r="K40" i="14"/>
  <c r="K44" i="14"/>
  <c r="K45" i="14" s="1"/>
  <c r="K27" i="14"/>
  <c r="K24" i="14"/>
  <c r="K42" i="14" s="1"/>
  <c r="M23" i="1"/>
  <c r="M4" i="1" s="1"/>
  <c r="D14" i="1"/>
  <c r="H24" i="1"/>
  <c r="I25" i="1"/>
  <c r="H25" i="1"/>
  <c r="L19" i="1"/>
  <c r="L24" i="1" s="1"/>
  <c r="M24" i="1" s="1"/>
  <c r="M6" i="1" s="1"/>
  <c r="M10" i="1" s="1"/>
  <c r="M12" i="1" s="1"/>
  <c r="M13" i="1" s="1"/>
  <c r="M15" i="1" s="1"/>
  <c r="H42" i="14" l="1"/>
  <c r="F42" i="14"/>
  <c r="I42" i="14"/>
  <c r="G42" i="14"/>
  <c r="N25" i="1"/>
  <c r="N14" i="1" s="1"/>
  <c r="N24" i="1"/>
  <c r="N6" i="1" s="1"/>
  <c r="M5" i="1"/>
  <c r="N10" i="1" l="1"/>
  <c r="N12" i="1" s="1"/>
  <c r="N13" i="1" s="1"/>
  <c r="N15" i="1" s="1"/>
  <c r="N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<sst xmlns="http://schemas.openxmlformats.org/spreadsheetml/2006/main" count="445" uniqueCount="291">
  <si>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</si>
  <si>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</si>
  <si>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</si>
  <si>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</si>
  <si>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</si>
  <si>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</si>
  <si>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</si>
  <si>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</si>
  <si>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</si>
  <si>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</si>
  <si>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</si>
  <si>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</si>
  <si>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</si>
  <si>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</si>
  <si>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</si>
  <si>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</si>
  <si>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</si>
  <si>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</si>
  <si>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</si>
  <si>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</si>
  <si>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</si>
  <si>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</si>
  <si>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</si>
  <si>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</si>
  <si>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</si>
  <si>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</si>
  <si>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</si>
  <si>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</si>
  <si>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</si>
  <si>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</si>
  <si>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</si>
  <si>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</si>
  <si>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</si>
  <si>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</si>
  <si>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</si>
  <si>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</si>
  <si>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</si>
  <si>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</si>
  <si>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</si>
  <si>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</si>
  <si>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</si>
  <si>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</si>
  <si>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</si>
  <si>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</si>
  <si>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</si>
  <si>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</si>
  <si>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</si>
  <si>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</si>
  <si>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</si>
  <si>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</si>
  <si>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</si>
  <si>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</si>
  <si>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</si>
  <si>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</si>
  <si>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</si>
  <si>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</si>
  <si>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</si>
  <si>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</si>
  <si>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</si>
  <si>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</si>
  <si>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</si>
  <si>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</si>
  <si>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</si>
  <si>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</si>
  <si>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</si>
  <si>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</si>
  <si>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</si>
  <si>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</si>
  <si>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</si>
  <si>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</si>
  <si>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</si>
  <si>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</si>
  <si>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</si>
  <si>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</si>
  <si>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</si>
  <si>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</si>
  <si>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</si>
  <si>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</si>
  <si>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</si>
  <si>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</si>
  <si>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</si>
  <si>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</si>
  <si>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</si>
  <si>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</si>
  <si>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</si>
  <si>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</si>
  <si>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</si>
  <si>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</si>
  <si>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</si>
  <si>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</si>
  <si>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</si>
  <si>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</si>
  <si>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</si>
  <si>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#</t>
  </si>
  <si>
    <t>Income Statement</t>
  </si>
  <si>
    <t>COGS</t>
  </si>
  <si>
    <t>Gross Profit</t>
  </si>
  <si>
    <t>Selling &amp; General Expenses</t>
  </si>
  <si>
    <t>EBIDTA</t>
  </si>
  <si>
    <t>Retained Earing</t>
  </si>
  <si>
    <t>Tata Consultancy Services Ltd</t>
  </si>
  <si>
    <t>Particulars</t>
  </si>
  <si>
    <t>Earnings Per Share (EPS)</t>
  </si>
  <si>
    <t>Revenue</t>
  </si>
  <si>
    <t>EBITDA</t>
  </si>
  <si>
    <t>Taxes</t>
  </si>
  <si>
    <t>Net Income</t>
  </si>
  <si>
    <t>PBT</t>
  </si>
  <si>
    <t>EPS- Growth</t>
  </si>
  <si>
    <t>NA</t>
  </si>
  <si>
    <t>Dividend % of PAT</t>
  </si>
  <si>
    <t xml:space="preserve">Retained Earing </t>
  </si>
  <si>
    <t>Capital Budgeting Analysis</t>
  </si>
  <si>
    <t xml:space="preserve">NPV,IRR,and Payback Period </t>
  </si>
  <si>
    <t xml:space="preserve">Project </t>
  </si>
  <si>
    <t>Period</t>
  </si>
  <si>
    <t>Cash Inflow</t>
  </si>
  <si>
    <t>Discount Rate</t>
  </si>
  <si>
    <t>Cumulated Cash Flow</t>
  </si>
  <si>
    <t>NPV</t>
  </si>
  <si>
    <t>IRR</t>
  </si>
  <si>
    <t>Pay Back Period</t>
  </si>
  <si>
    <t>Manual (step-by-step) way to calculate NPV</t>
  </si>
  <si>
    <t>Years</t>
  </si>
  <si>
    <t>Present value</t>
  </si>
  <si>
    <t>Periodic PV</t>
  </si>
  <si>
    <t>Total Investment</t>
  </si>
  <si>
    <t>Total PV</t>
  </si>
  <si>
    <t>Key Reasons to Proceed with the Project:</t>
  </si>
  <si>
    <t>Positive NPV:</t>
  </si>
  <si>
    <t>The project adds value, generating a surplus of ₹16,19,678 over the required return.</t>
  </si>
  <si>
    <t>Higher IRR than Required Return:</t>
  </si>
  <si>
    <t>The project earns more than the minimum expected return, making it financially attractive</t>
  </si>
  <si>
    <t>Quick Payback:</t>
  </si>
  <si>
    <t>Investment is recovered in 2 years and 3 months, reducing risk and improving liquidity.</t>
  </si>
  <si>
    <t>Tata Motors</t>
  </si>
  <si>
    <t xml:space="preserve">Sales  </t>
  </si>
  <si>
    <t xml:space="preserve">Variable Cost </t>
  </si>
  <si>
    <t xml:space="preserve">Fixed Operating Cost </t>
  </si>
  <si>
    <t xml:space="preserve">Interest Expense </t>
  </si>
  <si>
    <t>Compute Operating Leverage (OL)</t>
  </si>
  <si>
    <t>Compute Financial Leverage (FL)</t>
  </si>
  <si>
    <t>Contribution (Gross Profit)</t>
  </si>
  <si>
    <t>EBIT</t>
  </si>
  <si>
    <t>EBT</t>
  </si>
  <si>
    <t>Compute Combined Leverage (CL)</t>
  </si>
  <si>
    <t>Peer Comparable WACC</t>
  </si>
  <si>
    <t>Weekly - Two Year Range</t>
  </si>
  <si>
    <t>Debt/</t>
  </si>
  <si>
    <t>Debt /</t>
  </si>
  <si>
    <t xml:space="preserve">levered </t>
  </si>
  <si>
    <t xml:space="preserve">Unlevered </t>
  </si>
  <si>
    <t>Name of The comps</t>
  </si>
  <si>
    <t xml:space="preserve">Country </t>
  </si>
  <si>
    <t>Total Debt</t>
  </si>
  <si>
    <t xml:space="preserve">Total Equity </t>
  </si>
  <si>
    <r>
      <t xml:space="preserve">Tax Rate </t>
    </r>
    <r>
      <rPr>
        <b/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</si>
  <si>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</si>
  <si>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</si>
  <si>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b/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</si>
  <si>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>3</t>
    </r>
  </si>
  <si>
    <t>India</t>
  </si>
  <si>
    <t xml:space="preserve">Average </t>
  </si>
  <si>
    <t>Median</t>
  </si>
  <si>
    <t xml:space="preserve">Cost of Debt </t>
  </si>
  <si>
    <t>Cost Of Equity</t>
  </si>
  <si>
    <t xml:space="preserve">Pre-Tax Cost of Debt </t>
  </si>
  <si>
    <t>Risk Free Rate</t>
  </si>
  <si>
    <t>Tax rate</t>
  </si>
  <si>
    <t>Equity Risk Premium</t>
  </si>
  <si>
    <t xml:space="preserve">Post Tax Cost of Debt 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</si>
  <si>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</si>
  <si>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 xml:space="preserve">Capital Structure </t>
  </si>
  <si>
    <t>Levered Beta</t>
  </si>
  <si>
    <t xml:space="preserve">Current </t>
  </si>
  <si>
    <t>Target</t>
  </si>
  <si>
    <t>Comps Median Unlevered Beta</t>
  </si>
  <si>
    <t>Target Debt/Equity</t>
  </si>
  <si>
    <t>Tax Rate</t>
  </si>
  <si>
    <t>Total Capital</t>
  </si>
  <si>
    <t>Debt / Equity</t>
  </si>
  <si>
    <t>Weighted Average Cost of Capital</t>
  </si>
  <si>
    <t xml:space="preserve">Cost of Equity </t>
  </si>
  <si>
    <t xml:space="preserve">Equity Weight </t>
  </si>
  <si>
    <t>Cost of Debt</t>
  </si>
  <si>
    <t>Debt Weight</t>
  </si>
  <si>
    <t>WACC</t>
  </si>
  <si>
    <t>Infosys</t>
  </si>
  <si>
    <t>S.No.</t>
  </si>
  <si>
    <t>Name</t>
  </si>
  <si>
    <t>Debt / Eq</t>
  </si>
  <si>
    <t>TCS</t>
  </si>
  <si>
    <t>CMP Rs.</t>
  </si>
  <si>
    <t xml:space="preserve">Mar Cap Rs.Cr. </t>
  </si>
  <si>
    <t>Debt Rs.Cr.</t>
  </si>
  <si>
    <t>Eq Cap Rs.Cr.</t>
  </si>
  <si>
    <t>L&amp;T Technology</t>
  </si>
  <si>
    <t xml:space="preserve">Intreste </t>
  </si>
  <si>
    <t>Market Price</t>
  </si>
  <si>
    <t>YTM</t>
  </si>
  <si>
    <t>Bond Analysis - 2 listed Government vs Corporate Bond</t>
  </si>
  <si>
    <t>Features</t>
  </si>
  <si>
    <t>Coupon Rate</t>
  </si>
  <si>
    <t>Maturity Date</t>
  </si>
  <si>
    <t>ANDHRA PRADESH STATE BEVERAGES BOND</t>
  </si>
  <si>
    <t>Value</t>
  </si>
  <si>
    <t>26 Feb 2027, Fri</t>
  </si>
  <si>
    <t> 1,01,950.16</t>
  </si>
  <si>
    <t>Type of Security</t>
  </si>
  <si>
    <t>State Guaranteed Bond (SLU)</t>
  </si>
  <si>
    <t>Rating</t>
  </si>
  <si>
    <t>ACUITE AA(CE)</t>
  </si>
  <si>
    <t>Int. Payment Frequency</t>
  </si>
  <si>
    <t>QUARTERLY</t>
  </si>
  <si>
    <t>KERALA INFRASTRUCTURE INVESTMENT FUND BOARD</t>
  </si>
  <si>
    <t> 1,00,632.48</t>
  </si>
  <si>
    <t>Ind-Ra AA(CE)</t>
  </si>
  <si>
    <t>NAVI FINSERV LIMITED</t>
  </si>
  <si>
    <t>Sep 30, 2027</t>
  </si>
  <si>
    <t>CRISIL A</t>
  </si>
  <si>
    <t>MONTHLY</t>
  </si>
  <si>
    <t>Secured - Regular Bond/Debenture</t>
  </si>
  <si>
    <t>MUTHOOT MCRED LIMITED</t>
  </si>
  <si>
    <t>ICRA A</t>
  </si>
  <si>
    <t>Sep 18, 2028</t>
  </si>
  <si>
    <t>Jan 21, 2030</t>
  </si>
  <si>
    <t xml:space="preserve">Higher YTM (Return):- </t>
  </si>
  <si>
    <t>KIIFB: 9.35% &gt; Andhra: 9.15%</t>
  </si>
  <si>
    <t xml:space="preserve">Same Safety Level:- </t>
  </si>
  <si>
    <t>Higher Coupon Income:-</t>
  </si>
  <si>
    <t>KIIFB: 9.30% &gt; Andhra: 8.80%</t>
  </si>
  <si>
    <t>Better Market Price Advantage:-</t>
  </si>
  <si>
    <t>KIIFB price ≈ near Face Value(₹1,00,632)</t>
  </si>
  <si>
    <t>Both rated AA (CE)</t>
  </si>
  <si>
    <t xml:space="preserve">Suitable for investment in Gov Bond :- </t>
  </si>
  <si>
    <t>Kerala Infrastructure Investment Fund Board</t>
  </si>
  <si>
    <t>Navi Finserv Limited</t>
  </si>
  <si>
    <t>Navi: 10.30% &gt; Muthoot: 9.65%</t>
  </si>
  <si>
    <t>Navi matures earlier (2027) vs Muthoot (2028)</t>
  </si>
  <si>
    <t>YTM difference = only ~0.05% (very small)</t>
  </si>
  <si>
    <t>Higher Coupon Rate (Better Income):-</t>
  </si>
  <si>
    <t>Near Maturity Date (Lower Risk):-</t>
  </si>
  <si>
    <t>Same Risk Level (Low to Moderate):-</t>
  </si>
  <si>
    <t>Additional Insight:-</t>
  </si>
  <si>
    <t>Both are A-rated = low to moderate risk cat</t>
  </si>
  <si>
    <t>Asset Class</t>
  </si>
  <si>
    <t>Sub Allocation</t>
  </si>
  <si>
    <t>% Allocation</t>
  </si>
  <si>
    <t>Notes</t>
  </si>
  <si>
    <t>Amount</t>
  </si>
  <si>
    <t>Stocks (Total 40%)</t>
  </si>
  <si>
    <t>Large Cap</t>
  </si>
  <si>
    <t>Stable, blue-chip companies</t>
  </si>
  <si>
    <t>Mid Cap</t>
  </si>
  <si>
    <t>Growth-oriented companies</t>
  </si>
  <si>
    <t>Mutual Funds</t>
  </si>
  <si>
    <t>Stocks / Debt</t>
  </si>
  <si>
    <t>lump sum</t>
  </si>
  <si>
    <t>Bonds</t>
  </si>
  <si>
    <t>Corporate / Govt</t>
  </si>
  <si>
    <t>Stable income, low–moderate risk</t>
  </si>
  <si>
    <t>Gold</t>
  </si>
  <si>
    <t>Hedge against inflation</t>
  </si>
  <si>
    <t>Insurance</t>
  </si>
  <si>
    <t>Term Plan / Health Insurance</t>
  </si>
  <si>
    <t>Protection + basic coverage</t>
  </si>
  <si>
    <t>FD (Emergency)</t>
  </si>
  <si>
    <t>Bank Fixed Deposit</t>
  </si>
  <si>
    <t>Liquidity &amp; safety</t>
  </si>
  <si>
    <t>Index ETF</t>
  </si>
  <si>
    <t>Passive investing (Nifty/Sensex)</t>
  </si>
  <si>
    <t xml:space="preserve"> Digital Gold</t>
  </si>
  <si>
    <t>Invested Assets</t>
  </si>
  <si>
    <t>Investment Portfolio (₹10,00,000 | Age 26 | 5+ Years)</t>
  </si>
  <si>
    <t>OPM %</t>
  </si>
  <si>
    <t>Tax %</t>
  </si>
  <si>
    <t>EPS in Rs</t>
  </si>
  <si>
    <t>Dividend Payout %</t>
  </si>
  <si>
    <t>Sales +</t>
  </si>
  <si>
    <t>Expenses +</t>
  </si>
  <si>
    <t>Other Income +</t>
  </si>
  <si>
    <t>Perticulars</t>
  </si>
  <si>
    <t>Dividend</t>
  </si>
  <si>
    <t>Income statement - Infosys Ltd</t>
  </si>
  <si>
    <t xml:space="preserve">Net Profit </t>
  </si>
  <si>
    <t xml:space="preserve">No of shares </t>
  </si>
  <si>
    <t xml:space="preserve">Dividend Per Share </t>
  </si>
  <si>
    <t>Dividend Paid</t>
  </si>
  <si>
    <t>Income statement - HDFC</t>
  </si>
  <si>
    <t>Income statement - Coal india</t>
  </si>
  <si>
    <t>Dividend Analysis ( Infosys , HDFC Bank , Coal India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</si>
</sst>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"/>
    <numFmt numFmtId="167" formatCode="\ #,##0.0"/>
    <numFmt numFmtId="168" formatCode="#,##0;\(#,##0\)"/>
    <numFmt numFmtId="169" formatCode="_ * #,##0.0_ ;_ * \-#,##0.0_ ;_ * &quot;-&quot;??_ ;_ @_ "/>
    <numFmt numFmtId="170" formatCode="_ * #,##0.0000_ ;_ * \-#,##0.0000_ ;_ * &quot;-&quot;??_ ;_ @_ "/>
    <numFmt numFmtId="171" formatCode="#,##0.0;\(#,##0.0\)"/>
    <numFmt numFmtId="172" formatCode="#,##0.0"/>
    <numFmt numFmtId="173" formatCode="_ * #,##0_ ;_ * \-#,##0_ ;_ * &quot;-&quot;??_ ;_ @_ "/>
    <numFmt numFmtId="174" formatCode="&quot;₹&quot;\ #,##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9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3399"/>
      <name val="Calibri"/>
      <family val="2"/>
      <scheme val="minor"/>
    </font>
    <font>
      <i/>
      <sz val="10"/>
      <color rgb="FF212529"/>
      <name val="Roboto"/>
    </font>
    <font>
      <b/>
      <vertAlign val="superscript"/>
      <sz val="11"/>
      <color theme="1"/>
      <name val="Calibri"/>
      <family val="2"/>
    </font>
    <font>
      <sz val="11"/>
      <color rgb="FF3333FF"/>
      <name val="Calibri"/>
      <family val="2"/>
    </font>
    <font>
      <vertAlign val="superscript"/>
      <sz val="11"/>
      <color theme="1"/>
      <name val="Calibri"/>
      <family val="2"/>
    </font>
    <font>
      <sz val="11"/>
      <color rgb="FF22222F"/>
      <name val="Arial"/>
      <family val="2"/>
    </font>
    <font>
      <b/>
      <sz val="16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99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3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0" fillId="6" borderId="0" xfId="0" applyFill="1"/>
    <xf numFmtId="0" fontId="2" fillId="6" borderId="0" xfId="0" applyFont="1" applyFill="1"/>
    <xf numFmtId="17" fontId="2" fillId="6" borderId="0" xfId="0" applyNumberFormat="1" applyFont="1" applyFill="1"/>
    <xf numFmtId="43" fontId="0" fillId="0" borderId="0" xfId="0" applyNumberFormat="1"/>
    <xf numFmtId="0" fontId="1" fillId="6" borderId="0" xfId="0" applyFont="1" applyFill="1" applyAlignment="1">
      <alignment horizontal="left"/>
    </xf>
    <xf numFmtId="166" fontId="0" fillId="0" borderId="0" xfId="0" applyNumberFormat="1"/>
    <xf numFmtId="167" fontId="0" fillId="0" borderId="0" xfId="0" applyNumberFormat="1"/>
    <xf numFmtId="43" fontId="1" fillId="0" borderId="0" xfId="0" applyNumberFormat="1" applyFont="1"/>
    <xf numFmtId="167" fontId="1" fillId="0" borderId="0" xfId="0" applyNumberFormat="1" applyFont="1"/>
    <xf numFmtId="43" fontId="0" fillId="0" borderId="4" xfId="0" applyNumberFormat="1" applyBorder="1"/>
    <xf numFmtId="167" fontId="0" fillId="0" borderId="4" xfId="0" applyNumberFormat="1" applyBorder="1"/>
    <xf numFmtId="43" fontId="1" fillId="0" borderId="4" xfId="0" applyNumberFormat="1" applyFont="1" applyBorder="1"/>
    <xf numFmtId="167" fontId="1" fillId="0" borderId="4" xfId="0" applyNumberFormat="1" applyFont="1" applyBorder="1"/>
    <xf numFmtId="43" fontId="1" fillId="0" borderId="5" xfId="0" applyNumberFormat="1" applyFont="1" applyBorder="1"/>
    <xf numFmtId="167" fontId="1" fillId="0" borderId="5" xfId="0" applyNumberFormat="1" applyFont="1" applyBorder="1"/>
    <xf numFmtId="167" fontId="0" fillId="0" borderId="1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4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0" fontId="9" fillId="0" borderId="2" xfId="6" applyNumberFormat="1" applyFont="1" applyBorder="1" applyAlignment="1">
      <alignment horizontal="left"/>
    </xf>
    <xf numFmtId="10" fontId="0" fillId="0" borderId="0" xfId="6" applyNumberFormat="1" applyFont="1"/>
    <xf numFmtId="10" fontId="1" fillId="0" borderId="0" xfId="6" applyNumberFormat="1" applyFont="1"/>
    <xf numFmtId="10" fontId="0" fillId="0" borderId="4" xfId="6" applyNumberFormat="1" applyFont="1" applyBorder="1"/>
    <xf numFmtId="10" fontId="0" fillId="0" borderId="1" xfId="6" applyNumberFormat="1" applyFont="1" applyBorder="1"/>
    <xf numFmtId="10" fontId="0" fillId="0" borderId="2" xfId="0" applyNumberFormat="1" applyBorder="1"/>
    <xf numFmtId="0" fontId="1" fillId="0" borderId="4" xfId="0" applyFont="1" applyBorder="1" applyAlignment="1">
      <alignment horizontal="left"/>
    </xf>
    <xf numFmtId="0" fontId="1" fillId="0" borderId="1" xfId="0" applyFont="1" applyBorder="1"/>
    <xf numFmtId="10" fontId="10" fillId="0" borderId="2" xfId="6" applyNumberFormat="1" applyFont="1" applyBorder="1" applyAlignment="1">
      <alignment horizontal="left"/>
    </xf>
    <xf numFmtId="0" fontId="2" fillId="7" borderId="3" xfId="0" applyFont="1" applyFill="1" applyBorder="1"/>
    <xf numFmtId="17" fontId="2" fillId="7" borderId="3" xfId="0" applyNumberFormat="1" applyFont="1" applyFill="1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center"/>
    </xf>
    <xf numFmtId="0" fontId="12" fillId="0" borderId="0" xfId="0" applyFont="1"/>
    <xf numFmtId="0" fontId="1" fillId="8" borderId="0" xfId="0" applyFont="1" applyFill="1"/>
    <xf numFmtId="9" fontId="0" fillId="0" borderId="0" xfId="0" applyNumberFormat="1"/>
    <xf numFmtId="172" fontId="0" fillId="0" borderId="0" xfId="0" applyNumberFormat="1"/>
    <xf numFmtId="0" fontId="0" fillId="0" borderId="3" xfId="0" applyBorder="1"/>
    <xf numFmtId="10" fontId="13" fillId="0" borderId="3" xfId="0" applyNumberFormat="1" applyFont="1" applyBorder="1"/>
    <xf numFmtId="10" fontId="0" fillId="0" borderId="3" xfId="0" applyNumberFormat="1" applyBorder="1"/>
    <xf numFmtId="169" fontId="0" fillId="0" borderId="3" xfId="1" applyNumberFormat="1" applyFont="1" applyBorder="1"/>
    <xf numFmtId="0" fontId="1" fillId="0" borderId="4" xfId="0" applyFont="1" applyBorder="1"/>
    <xf numFmtId="168" fontId="1" fillId="0" borderId="4" xfId="0" applyNumberFormat="1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71" fontId="0" fillId="0" borderId="3" xfId="0" applyNumberFormat="1" applyBorder="1"/>
    <xf numFmtId="0" fontId="1" fillId="0" borderId="3" xfId="0" applyFont="1" applyBorder="1"/>
    <xf numFmtId="0" fontId="0" fillId="0" borderId="3" xfId="0" applyBorder="1" applyAlignment="1">
      <alignment horizontal="center"/>
    </xf>
    <xf numFmtId="173" fontId="0" fillId="0" borderId="3" xfId="0" applyNumberFormat="1" applyBorder="1" applyAlignment="1">
      <alignment horizontal="center"/>
    </xf>
    <xf numFmtId="170" fontId="0" fillId="0" borderId="3" xfId="1" applyNumberFormat="1" applyFont="1" applyBorder="1" applyAlignment="1">
      <alignment horizontal="center"/>
    </xf>
    <xf numFmtId="173" fontId="0" fillId="0" borderId="3" xfId="0" applyNumberFormat="1" applyBorder="1"/>
    <xf numFmtId="173" fontId="1" fillId="0" borderId="3" xfId="0" applyNumberFormat="1" applyFont="1" applyBorder="1"/>
    <xf numFmtId="0" fontId="2" fillId="10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right"/>
    </xf>
    <xf numFmtId="173" fontId="1" fillId="11" borderId="3" xfId="0" applyNumberFormat="1" applyFont="1" applyFill="1" applyBorder="1"/>
    <xf numFmtId="173" fontId="0" fillId="0" borderId="3" xfId="1" applyNumberFormat="1" applyFont="1" applyBorder="1"/>
    <xf numFmtId="171" fontId="13" fillId="0" borderId="0" xfId="0" applyNumberFormat="1" applyFont="1"/>
    <xf numFmtId="0" fontId="1" fillId="8" borderId="0" xfId="0" applyFont="1" applyFill="1" applyAlignment="1">
      <alignment horizontal="right"/>
    </xf>
    <xf numFmtId="0" fontId="14" fillId="0" borderId="0" xfId="0" applyFont="1"/>
    <xf numFmtId="3" fontId="15" fillId="0" borderId="0" xfId="0" applyNumberFormat="1" applyFont="1"/>
    <xf numFmtId="3" fontId="1" fillId="12" borderId="0" xfId="0" applyNumberFormat="1" applyFont="1" applyFill="1"/>
    <xf numFmtId="3" fontId="1" fillId="12" borderId="4" xfId="0" applyNumberFormat="1" applyFont="1" applyFill="1" applyBorder="1"/>
    <xf numFmtId="3" fontId="1" fillId="0" borderId="4" xfId="0" applyNumberFormat="1" applyFont="1" applyBorder="1"/>
    <xf numFmtId="0" fontId="1" fillId="0" borderId="7" xfId="0" applyFont="1" applyBorder="1"/>
    <xf numFmtId="3" fontId="1" fillId="0" borderId="7" xfId="0" applyNumberFormat="1" applyFont="1" applyBorder="1"/>
    <xf numFmtId="0" fontId="16" fillId="0" borderId="0" xfId="0" applyFont="1"/>
    <xf numFmtId="0" fontId="11" fillId="0" borderId="8" xfId="0" applyFont="1" applyBorder="1"/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1" fillId="0" borderId="6" xfId="0" applyFont="1" applyBorder="1" applyAlignment="1">
      <alignment horizontal="center"/>
    </xf>
    <xf numFmtId="0" fontId="18" fillId="0" borderId="0" xfId="0" applyFont="1" applyAlignment="1">
      <alignment horizontal="right"/>
    </xf>
    <xf numFmtId="172" fontId="18" fillId="0" borderId="0" xfId="0" applyNumberFormat="1" applyFont="1"/>
    <xf numFmtId="10" fontId="18" fillId="0" borderId="0" xfId="0" applyNumberFormat="1" applyFont="1" applyAlignment="1">
      <alignment vertical="top"/>
    </xf>
    <xf numFmtId="2" fontId="18" fillId="0" borderId="0" xfId="0" applyNumberFormat="1" applyFont="1"/>
    <xf numFmtId="2" fontId="0" fillId="0" borderId="0" xfId="0" applyNumberFormat="1"/>
    <xf numFmtId="10" fontId="11" fillId="0" borderId="8" xfId="0" applyNumberFormat="1" applyFont="1" applyBorder="1"/>
    <xf numFmtId="2" fontId="11" fillId="0" borderId="8" xfId="0" applyNumberFormat="1" applyFont="1" applyBorder="1"/>
    <xf numFmtId="10" fontId="11" fillId="0" borderId="6" xfId="0" applyNumberFormat="1" applyFont="1" applyBorder="1"/>
    <xf numFmtId="2" fontId="11" fillId="0" borderId="6" xfId="0" applyNumberFormat="1" applyFont="1" applyBorder="1"/>
    <xf numFmtId="0" fontId="0" fillId="0" borderId="6" xfId="0" applyBorder="1"/>
    <xf numFmtId="10" fontId="18" fillId="0" borderId="0" xfId="0" applyNumberFormat="1" applyFont="1"/>
    <xf numFmtId="9" fontId="18" fillId="0" borderId="0" xfId="0" applyNumberFormat="1" applyFont="1"/>
    <xf numFmtId="0" fontId="0" fillId="0" borderId="1" xfId="0" applyBorder="1"/>
    <xf numFmtId="10" fontId="0" fillId="0" borderId="1" xfId="0" applyNumberFormat="1" applyBorder="1"/>
    <xf numFmtId="10" fontId="11" fillId="12" borderId="1" xfId="0" applyNumberFormat="1" applyFont="1" applyFill="1" applyBorder="1"/>
    <xf numFmtId="0" fontId="11" fillId="0" borderId="6" xfId="0" applyFont="1" applyBorder="1" applyAlignment="1">
      <alignment horizontal="right"/>
    </xf>
    <xf numFmtId="10" fontId="0" fillId="0" borderId="0" xfId="6" applyNumberFormat="1" applyFont="1" applyBorder="1"/>
    <xf numFmtId="0" fontId="11" fillId="0" borderId="1" xfId="0" applyFont="1" applyBorder="1"/>
    <xf numFmtId="2" fontId="11" fillId="12" borderId="1" xfId="0" applyNumberFormat="1" applyFont="1" applyFill="1" applyBorder="1"/>
    <xf numFmtId="10" fontId="11" fillId="12" borderId="0" xfId="6" applyNumberFormat="1" applyFont="1" applyFill="1"/>
    <xf numFmtId="0" fontId="11" fillId="12" borderId="7" xfId="0" applyFont="1" applyFill="1" applyBorder="1"/>
    <xf numFmtId="10" fontId="11" fillId="12" borderId="7" xfId="0" applyNumberFormat="1" applyFont="1" applyFill="1" applyBorder="1"/>
    <xf numFmtId="0" fontId="20" fillId="0" borderId="0" xfId="0" applyFont="1"/>
    <xf numFmtId="0" fontId="21" fillId="6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10" fontId="0" fillId="0" borderId="3" xfId="6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3" xfId="0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10" fontId="1" fillId="6" borderId="3" xfId="6" applyNumberFormat="1" applyFont="1" applyFill="1" applyBorder="1" applyAlignment="1">
      <alignment horizontal="right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1" fillId="12" borderId="3" xfId="0" applyFont="1" applyFill="1" applyBorder="1"/>
    <xf numFmtId="0" fontId="1" fillId="8" borderId="3" xfId="0" applyFont="1" applyFill="1" applyBorder="1"/>
    <xf numFmtId="0" fontId="1" fillId="8" borderId="3" xfId="0" applyFont="1" applyFill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0" fontId="1" fillId="8" borderId="0" xfId="0" applyFont="1" applyFill="1" applyAlignment="1">
      <alignment horizontal="left"/>
    </xf>
    <xf numFmtId="9" fontId="0" fillId="0" borderId="2" xfId="0" applyNumberFormat="1" applyBorder="1" applyAlignment="1">
      <alignment horizontal="right"/>
    </xf>
    <xf numFmtId="174" fontId="0" fillId="0" borderId="2" xfId="0" applyNumberFormat="1" applyBorder="1" applyAlignment="1">
      <alignment horizontal="right"/>
    </xf>
    <xf numFmtId="0" fontId="1" fillId="0" borderId="9" xfId="0" applyFont="1" applyBorder="1" applyAlignment="1">
      <alignment horizontal="left"/>
    </xf>
    <xf numFmtId="9" fontId="1" fillId="0" borderId="9" xfId="0" applyNumberFormat="1" applyFont="1" applyBorder="1"/>
    <xf numFmtId="174" fontId="1" fillId="0" borderId="9" xfId="0" applyNumberFormat="1" applyFont="1" applyBorder="1"/>
    <xf numFmtId="0" fontId="0" fillId="0" borderId="9" xfId="0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right"/>
    </xf>
    <xf numFmtId="17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8" borderId="0" xfId="0" applyFont="1" applyFill="1" applyAlignment="1">
      <alignment horizontal="center"/>
    </xf>
    <xf numFmtId="0" fontId="13" fillId="0" borderId="0" xfId="0" applyFont="1"/>
    <xf numFmtId="3" fontId="13" fillId="0" borderId="0" xfId="0" applyNumberFormat="1" applyFont="1"/>
    <xf numFmtId="17" fontId="2" fillId="13" borderId="0" xfId="0" applyNumberFormat="1" applyFont="1" applyFill="1"/>
    <xf numFmtId="172" fontId="13" fillId="0" borderId="0" xfId="0" applyNumberFormat="1" applyFont="1"/>
    <xf numFmtId="10" fontId="10" fillId="0" borderId="10" xfId="6" applyNumberFormat="1" applyFont="1" applyBorder="1" applyAlignment="1">
      <alignment horizontal="left"/>
    </xf>
    <xf numFmtId="10" fontId="0" fillId="0" borderId="10" xfId="6" applyNumberFormat="1" applyFont="1" applyBorder="1"/>
    <xf numFmtId="43" fontId="0" fillId="0" borderId="4" xfId="1" applyFont="1" applyBorder="1"/>
    <xf numFmtId="0" fontId="13" fillId="0" borderId="11" xfId="0" applyFont="1" applyBorder="1"/>
    <xf numFmtId="172" fontId="13" fillId="0" borderId="11" xfId="0" applyNumberFormat="1" applyFont="1" applyBorder="1"/>
    <xf numFmtId="0" fontId="1" fillId="0" borderId="8" xfId="0" applyFont="1" applyBorder="1"/>
    <xf numFmtId="10" fontId="0" fillId="0" borderId="8" xfId="6" applyNumberFormat="1" applyFont="1" applyBorder="1"/>
    <xf numFmtId="0" fontId="15" fillId="0" borderId="0" xfId="0" applyFont="1"/>
    <xf numFmtId="172" fontId="15" fillId="0" borderId="0" xfId="0" applyNumberFormat="1" applyFont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7" fillId="9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21" fillId="7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/>
    </xf>
    <xf numFmtId="0" fontId="2" fillId="10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8" borderId="3" xfId="0" applyFont="1" applyFill="1" applyBorder="1" applyAlignment="1">
      <alignment horizontal="center"/>
    </xf>
    <xf numFmtId="0" fontId="21" fillId="10" borderId="3" xfId="0" applyFont="1" applyFill="1" applyBorder="1" applyAlignment="1">
      <alignment horizontal="center" vertic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2">
    <dxf>
      <font>
        <b val="0"/>
        <i/>
        <color theme="0" tint="-0.499984740745262"/>
      </font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99"/>
      <color rgb="FF003399"/>
      <color rgb="FF00CCFF"/>
      <color rgb="FF0033CC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114300</xdr:colOff>
      <xdr:row>8</xdr:row>
      <xdr:rowOff>114300</xdr:rowOff>
    </xdr:to>
    <xdr:sp macro="" textlink="">
      <xdr:nvSpPr>
        <xdr:cNvPr id="12289" name="AutoShape 1" descr="info">
          <a:extLst>
            <a:ext uri="{FF2B5EF4-FFF2-40B4-BE49-F238E27FC236}">
              <a16:creationId xmlns:a16="http://schemas.microsoft.com/office/drawing/2014/main" id="{7850E62D-D335-43FE-B0F7-F3A2B303419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136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CC%20Solv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F"/>
      <sheetName val="WACC"/>
      <sheetName val="Data"/>
      <sheetName val="Rm calculation 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1">
  <tableColumns count="14">
    <tableColumn id="1" xr3:uid="{00000000-0010-0000-0000-000001000000}" name="Column1" headerRowDxfId="30" dataDxfId="29"/>
    <tableColumn id="2" xr3:uid="{00000000-0010-0000-0000-000002000000}" name="Column2" headerRowDxfId="28"/>
    <tableColumn id="3" xr3:uid="{00000000-0010-0000-0000-000003000000}" name="Column3" headerRowDxfId="27"/>
    <tableColumn id="4" xr3:uid="{00000000-0010-0000-0000-000004000000}" name="Column4" headerRowDxfId="26"/>
    <tableColumn id="5" xr3:uid="{00000000-0010-0000-0000-000005000000}" name="Column5" headerRowDxfId="25"/>
    <tableColumn id="6" xr3:uid="{00000000-0010-0000-0000-000006000000}" name="Column6" headerRowDxfId="24"/>
    <tableColumn id="7" xr3:uid="{00000000-0010-0000-0000-000007000000}" name="Column7" headerRowDxfId="23"/>
    <tableColumn id="8" xr3:uid="{00000000-0010-0000-0000-000008000000}" name="Column8" headerRowDxfId="22"/>
    <tableColumn id="9" xr3:uid="{00000000-0010-0000-0000-000009000000}" name="Column9" headerRowDxfId="21"/>
    <tableColumn id="10" xr3:uid="{00000000-0010-0000-0000-00000A000000}" name="Column10" headerRowDxfId="20"/>
    <tableColumn id="11" xr3:uid="{00000000-0010-0000-0000-00000B000000}" name="Column11" headerRowDxfId="19"/>
    <tableColumn id="12" xr3:uid="{00000000-0010-0000-0000-00000C000000}" name="Column12" headerRowDxfId="18"/>
    <tableColumn id="13" xr3:uid="{00000000-0010-0000-0000-00000D000000}" name="Column13" headerRowDxfId="17" dataDxfId="16"/>
    <tableColumn id="14" xr3:uid="{00000000-0010-0000-0000-00000E000000}" name="Column14" headerRowDxfId="15" dataDxfId="1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3">
  <tableColumns count="11">
    <tableColumn id="1" xr3:uid="{00000000-0010-0000-0100-000001000000}" name="Column1" headerRowDxfId="12"/>
    <tableColumn id="2" xr3:uid="{00000000-0010-0000-0100-000002000000}" name="Column2" headerRowDxfId="11"/>
    <tableColumn id="3" xr3:uid="{00000000-0010-0000-0100-000003000000}" name="Column3" headerRowDxfId="10"/>
    <tableColumn id="4" xr3:uid="{00000000-0010-0000-0100-000004000000}" name="Column4" headerRowDxfId="9"/>
    <tableColumn id="5" xr3:uid="{00000000-0010-0000-0100-000005000000}" name="Column5" headerRowDxfId="8"/>
    <tableColumn id="6" xr3:uid="{00000000-0010-0000-0100-000006000000}" name="Column6" headerRowDxfId="7"/>
    <tableColumn id="7" xr3:uid="{00000000-0010-0000-0100-000007000000}" name="Column7" headerRowDxfId="6"/>
    <tableColumn id="8" xr3:uid="{00000000-0010-0000-0100-000008000000}" name="Column8" headerRowDxfId="5"/>
    <tableColumn id="9" xr3:uid="{00000000-0010-0000-0100-000009000000}" name="Column9" headerRowDxfId="4"/>
    <tableColumn id="10" xr3:uid="{00000000-0010-0000-0100-00000A000000}" name="Column10" headerRowDxfId="3"/>
    <tableColumn id="11" xr3:uid="{00000000-0010-0000-0100-00000B000000}" name="Column11" headerRowDxfId="2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TATA CONSULTANCY SERVICES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117966</v>
      </c>
      <c r="C4" s="1">
        <f>'Data Sheet'!C17</f>
        <v>123104</v>
      </c>
      <c r="D4" s="1">
        <f>'Data Sheet'!D17</f>
        <v>146463</v>
      </c>
      <c r="E4" s="1">
        <f>'Data Sheet'!E17</f>
        <v>156949</v>
      </c>
      <c r="F4" s="1">
        <f>'Data Sheet'!F17</f>
        <v>164177</v>
      </c>
      <c r="G4" s="1">
        <f>'Data Sheet'!G17</f>
        <v>191754</v>
      </c>
      <c r="H4" s="1">
        <f>'Data Sheet'!H17</f>
        <v>225458</v>
      </c>
      <c r="I4" s="1">
        <f>'Data Sheet'!I17</f>
        <v>240893</v>
      </c>
      <c r="J4" s="1">
        <f>'Data Sheet'!J17</f>
        <v>255324</v>
      </c>
      <c r="K4" s="1">
        <f>'Data Sheet'!K17</f>
        <v>267021</v>
      </c>
      <c r="L4" s="1">
        <f>SUM(Quarters!H4:K4)</f>
        <v>267021</v>
      </c>
      <c r="M4" s="1">
        <f>$K4+M23*K4</f>
        <v>282513.15420191351</v>
      </c>
      <c r="N4" s="1">
        <f>$K4+N23*L4</f>
        <v>279253.86740376934</v>
      </c>
    </row>
    <row r="5" spans="1:14" x14ac:dyDescent="0.25">
      <c r="A5" t="s">
        <v>7</v>
      </c>
      <c r="B5" s="6">
        <f>SUM('Data Sheet'!B18,'Data Sheet'!B20:B24, -1*'Data Sheet'!B19)</f>
        <v>85655</v>
      </c>
      <c r="C5" s="6">
        <f>SUM('Data Sheet'!C18,'Data Sheet'!C20:C24, -1*'Data Sheet'!C19)</f>
        <v>90588</v>
      </c>
      <c r="D5" s="6">
        <f>SUM('Data Sheet'!D18,'Data Sheet'!D20:D24, -1*'Data Sheet'!D19)</f>
        <v>106957</v>
      </c>
      <c r="E5" s="6">
        <f>SUM('Data Sheet'!E18,'Data Sheet'!E20:E24, -1*'Data Sheet'!E19)</f>
        <v>114840</v>
      </c>
      <c r="F5" s="6">
        <f>SUM('Data Sheet'!F18,'Data Sheet'!F20:F24, -1*'Data Sheet'!F19)</f>
        <v>117631</v>
      </c>
      <c r="G5" s="6">
        <f>SUM('Data Sheet'!G18,'Data Sheet'!G20:G24, -1*'Data Sheet'!G19)</f>
        <v>138697</v>
      </c>
      <c r="H5" s="6">
        <f>SUM('Data Sheet'!H18,'Data Sheet'!H20:H24, -1*'Data Sheet'!H19)</f>
        <v>166199</v>
      </c>
      <c r="I5" s="6">
        <f>SUM('Data Sheet'!I18,'Data Sheet'!I20:I24, -1*'Data Sheet'!I19)</f>
        <v>176597</v>
      </c>
      <c r="J5" s="6">
        <f>SUM('Data Sheet'!J18,'Data Sheet'!J20:J24, -1*'Data Sheet'!J19)</f>
        <v>187917</v>
      </c>
      <c r="K5" s="6">
        <f>SUM('Data Sheet'!K18,'Data Sheet'!K20:K24, -1*'Data Sheet'!K19)</f>
        <v>194623</v>
      </c>
      <c r="L5" s="6">
        <f>SUM(Quarters!H5:K5)</f>
        <v>194623</v>
      </c>
      <c r="M5" s="6">
        <f t="shared" ref="M5:N5" si="0">M4-M6</f>
        <v>205914.73183846593</v>
      </c>
      <c r="N5" s="6">
        <f t="shared" si="0"/>
        <v>204577.30047317006</v>
      </c>
    </row>
    <row r="6" spans="1:14" s="2" customFormat="1" x14ac:dyDescent="0.25">
      <c r="A6" s="2" t="s">
        <v>8</v>
      </c>
      <c r="B6" s="1">
        <f>B4-B5</f>
        <v>32311</v>
      </c>
      <c r="C6" s="1">
        <f t="shared" ref="C6:K6" si="1">C4-C5</f>
        <v>32516</v>
      </c>
      <c r="D6" s="1">
        <f t="shared" si="1"/>
        <v>39506</v>
      </c>
      <c r="E6" s="1">
        <f t="shared" si="1"/>
        <v>42109</v>
      </c>
      <c r="F6" s="1">
        <f t="shared" si="1"/>
        <v>46546</v>
      </c>
      <c r="G6" s="1">
        <f t="shared" si="1"/>
        <v>53057</v>
      </c>
      <c r="H6" s="1">
        <f t="shared" si="1"/>
        <v>59259</v>
      </c>
      <c r="I6" s="1">
        <f t="shared" si="1"/>
        <v>64296</v>
      </c>
      <c r="J6" s="1">
        <f t="shared" si="1"/>
        <v>67407</v>
      </c>
      <c r="K6" s="1">
        <f t="shared" si="1"/>
        <v>72398</v>
      </c>
      <c r="L6" s="1">
        <f>SUM(Quarters!H6:K6)</f>
        <v>72398</v>
      </c>
      <c r="M6" s="1">
        <f>M4*M24</f>
        <v>76598.422363447578</v>
      </c>
      <c r="N6" s="1">
        <f>N4*N24</f>
        <v>74676.566930599263</v>
      </c>
    </row>
    <row r="7" spans="1:14" x14ac:dyDescent="0.25">
      <c r="A7" t="s">
        <v>9</v>
      </c>
      <c r="B7" s="6">
        <f>'Data Sheet'!B25</f>
        <v>4221</v>
      </c>
      <c r="C7" s="6">
        <f>'Data Sheet'!C25</f>
        <v>3642</v>
      </c>
      <c r="D7" s="6">
        <f>'Data Sheet'!D25</f>
        <v>4311</v>
      </c>
      <c r="E7" s="6">
        <f>'Data Sheet'!E25</f>
        <v>4592</v>
      </c>
      <c r="F7" s="6">
        <f>'Data Sheet'!F25</f>
        <v>1916</v>
      </c>
      <c r="G7" s="6">
        <f>'Data Sheet'!G25</f>
        <v>4018</v>
      </c>
      <c r="H7" s="6">
        <f>'Data Sheet'!H25</f>
        <v>3449</v>
      </c>
      <c r="I7" s="6">
        <f>'Data Sheet'!I25</f>
        <v>3464</v>
      </c>
      <c r="J7" s="6">
        <f>'Data Sheet'!J25</f>
        <v>3962</v>
      </c>
      <c r="K7" s="6">
        <f>'Data Sheet'!K25</f>
        <v>-124</v>
      </c>
      <c r="L7" s="6">
        <f>SUM(Quarters!H7:K7)</f>
        <v>-124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1987</v>
      </c>
      <c r="C8" s="6">
        <f>'Data Sheet'!C26</f>
        <v>2014</v>
      </c>
      <c r="D8" s="6">
        <f>'Data Sheet'!D26</f>
        <v>2056</v>
      </c>
      <c r="E8" s="6">
        <f>'Data Sheet'!E26</f>
        <v>3529</v>
      </c>
      <c r="F8" s="6">
        <f>'Data Sheet'!F26</f>
        <v>4065</v>
      </c>
      <c r="G8" s="6">
        <f>'Data Sheet'!G26</f>
        <v>4604</v>
      </c>
      <c r="H8" s="6">
        <f>'Data Sheet'!H26</f>
        <v>5022</v>
      </c>
      <c r="I8" s="6">
        <f>'Data Sheet'!I26</f>
        <v>4985</v>
      </c>
      <c r="J8" s="6">
        <f>'Data Sheet'!J26</f>
        <v>5242</v>
      </c>
      <c r="K8" s="6">
        <f>'Data Sheet'!K26</f>
        <v>5560</v>
      </c>
      <c r="L8" s="6">
        <f>SUM(Quarters!H8:K8)</f>
        <v>5560</v>
      </c>
      <c r="M8" s="6">
        <f>+$L8</f>
        <v>5560</v>
      </c>
      <c r="N8" s="6">
        <f>+$L8</f>
        <v>5560</v>
      </c>
    </row>
    <row r="9" spans="1:14" x14ac:dyDescent="0.25">
      <c r="A9" t="s">
        <v>11</v>
      </c>
      <c r="B9" s="6">
        <f>'Data Sheet'!B27</f>
        <v>32</v>
      </c>
      <c r="C9" s="6">
        <f>'Data Sheet'!C27</f>
        <v>52</v>
      </c>
      <c r="D9" s="6">
        <f>'Data Sheet'!D27</f>
        <v>198</v>
      </c>
      <c r="E9" s="6">
        <f>'Data Sheet'!E27</f>
        <v>924</v>
      </c>
      <c r="F9" s="6">
        <f>'Data Sheet'!F27</f>
        <v>637</v>
      </c>
      <c r="G9" s="6">
        <f>'Data Sheet'!G27</f>
        <v>784</v>
      </c>
      <c r="H9" s="6">
        <f>'Data Sheet'!H27</f>
        <v>779</v>
      </c>
      <c r="I9" s="6">
        <f>'Data Sheet'!I27</f>
        <v>778</v>
      </c>
      <c r="J9" s="6">
        <f>'Data Sheet'!J27</f>
        <v>796</v>
      </c>
      <c r="K9" s="6">
        <f>'Data Sheet'!K27</f>
        <v>1227</v>
      </c>
      <c r="L9" s="6">
        <f>SUM(Quarters!H9:K9)</f>
        <v>1227</v>
      </c>
      <c r="M9" s="6">
        <f>+$L9</f>
        <v>1227</v>
      </c>
      <c r="N9" s="6">
        <f>+$L9</f>
        <v>1227</v>
      </c>
    </row>
    <row r="10" spans="1:14" x14ac:dyDescent="0.25">
      <c r="A10" t="s">
        <v>12</v>
      </c>
      <c r="B10" s="6">
        <f>'Data Sheet'!B28</f>
        <v>34513</v>
      </c>
      <c r="C10" s="6">
        <f>'Data Sheet'!C28</f>
        <v>34092</v>
      </c>
      <c r="D10" s="6">
        <f>'Data Sheet'!D28</f>
        <v>41563</v>
      </c>
      <c r="E10" s="6">
        <f>'Data Sheet'!E28</f>
        <v>42248</v>
      </c>
      <c r="F10" s="6">
        <f>'Data Sheet'!F28</f>
        <v>43760</v>
      </c>
      <c r="G10" s="6">
        <f>'Data Sheet'!G28</f>
        <v>51687</v>
      </c>
      <c r="H10" s="6">
        <f>'Data Sheet'!H28</f>
        <v>56907</v>
      </c>
      <c r="I10" s="6">
        <f>'Data Sheet'!I28</f>
        <v>61997</v>
      </c>
      <c r="J10" s="6">
        <f>'Data Sheet'!J28</f>
        <v>65331</v>
      </c>
      <c r="K10" s="6">
        <f>'Data Sheet'!K28</f>
        <v>65487</v>
      </c>
      <c r="L10" s="6">
        <f>SUM(Quarters!H10:K10)</f>
        <v>65487</v>
      </c>
      <c r="M10" s="6">
        <f>M6+M7-SUM(M8:M9)</f>
        <v>69811.422363447578</v>
      </c>
      <c r="N10" s="6">
        <f>N6+N7-SUM(N8:N9)</f>
        <v>67889.566930599263</v>
      </c>
    </row>
    <row r="11" spans="1:14" x14ac:dyDescent="0.25">
      <c r="A11" t="s">
        <v>13</v>
      </c>
      <c r="B11" s="6">
        <f>'Data Sheet'!B29</f>
        <v>8156</v>
      </c>
      <c r="C11" s="6">
        <f>'Data Sheet'!C29</f>
        <v>8212</v>
      </c>
      <c r="D11" s="6">
        <f>'Data Sheet'!D29</f>
        <v>10001</v>
      </c>
      <c r="E11" s="6">
        <f>'Data Sheet'!E29</f>
        <v>9801</v>
      </c>
      <c r="F11" s="6">
        <f>'Data Sheet'!F29</f>
        <v>11198</v>
      </c>
      <c r="G11" s="6">
        <f>'Data Sheet'!G29</f>
        <v>13238</v>
      </c>
      <c r="H11" s="6">
        <f>'Data Sheet'!H29</f>
        <v>14604</v>
      </c>
      <c r="I11" s="6">
        <f>'Data Sheet'!I29</f>
        <v>15898</v>
      </c>
      <c r="J11" s="6">
        <f>'Data Sheet'!J29</f>
        <v>16534</v>
      </c>
      <c r="K11" s="6">
        <f>'Data Sheet'!K29</f>
        <v>16033</v>
      </c>
      <c r="L11" s="6">
        <f>SUM(Quarters!H11:K11)</f>
        <v>16033</v>
      </c>
      <c r="M11" s="7">
        <f>IF($L10&gt;0,$L11/$L10,0)</f>
        <v>0.24482721761571</v>
      </c>
      <c r="N11" s="7">
        <f>IF($L10&gt;0,$L11/$L10,0)</f>
        <v>0.24482721761571</v>
      </c>
    </row>
    <row r="12" spans="1:14" s="2" customFormat="1" x14ac:dyDescent="0.25">
      <c r="A12" s="2" t="s">
        <v>14</v>
      </c>
      <c r="B12" s="1">
        <f>'Data Sheet'!B30</f>
        <v>26289</v>
      </c>
      <c r="C12" s="1">
        <f>'Data Sheet'!C30</f>
        <v>25826</v>
      </c>
      <c r="D12" s="1">
        <f>'Data Sheet'!D30</f>
        <v>31472</v>
      </c>
      <c r="E12" s="1">
        <f>'Data Sheet'!E30</f>
        <v>32340</v>
      </c>
      <c r="F12" s="1">
        <f>'Data Sheet'!F30</f>
        <v>32430</v>
      </c>
      <c r="G12" s="1">
        <f>'Data Sheet'!G30</f>
        <v>38327</v>
      </c>
      <c r="H12" s="1">
        <f>'Data Sheet'!H30</f>
        <v>42147</v>
      </c>
      <c r="I12" s="1">
        <f>'Data Sheet'!I30</f>
        <v>45908</v>
      </c>
      <c r="J12" s="1">
        <f>'Data Sheet'!J30</f>
        <v>48553</v>
      </c>
      <c r="K12" s="1">
        <f>'Data Sheet'!K30</f>
        <v>49210</v>
      </c>
      <c r="L12" s="1">
        <f>SUM(Quarters!H12:K12)</f>
        <v>49210</v>
      </c>
      <c r="M12" s="1">
        <f>M10-M11*M10</f>
        <v>52719.686068409559</v>
      </c>
      <c r="N12" s="1">
        <f>N10-N11*N10</f>
        <v>51268.353153845128</v>
      </c>
    </row>
    <row r="13" spans="1:14" x14ac:dyDescent="0.25">
      <c r="A13" t="s">
        <v>57</v>
      </c>
      <c r="B13" s="6">
        <f>IF('Data Sheet'!B93&gt;0,B12/'Data Sheet'!B93,0)</f>
        <v>66.708112360120793</v>
      </c>
      <c r="C13" s="6">
        <f>IF('Data Sheet'!C93&gt;0,C12/'Data Sheet'!C93,0)</f>
        <v>67.455466750248135</v>
      </c>
      <c r="D13" s="6">
        <f>IF('Data Sheet'!D93&gt;0,D12/'Data Sheet'!D93,0)</f>
        <v>83.871655473830074</v>
      </c>
      <c r="E13" s="6">
        <f>IF('Data Sheet'!E93&gt;0,E12/'Data Sheet'!E93,0)</f>
        <v>86.184841701311157</v>
      </c>
      <c r="F13" s="6">
        <f>IF('Data Sheet'!F93&gt;0,F12/'Data Sheet'!F93,0)</f>
        <v>87.669973777405303</v>
      </c>
      <c r="G13" s="6">
        <f>IF('Data Sheet'!G93&gt;0,G12/'Data Sheet'!G93,0)</f>
        <v>104.74433603891667</v>
      </c>
      <c r="H13" s="6">
        <f>IF('Data Sheet'!H93&gt;0,H12/'Data Sheet'!H93,0)</f>
        <v>115.1840616545052</v>
      </c>
      <c r="I13" s="6">
        <f>IF('Data Sheet'!I93&gt;0,I12/'Data Sheet'!I93,0)</f>
        <v>126.88427627760427</v>
      </c>
      <c r="J13" s="6">
        <f>IF('Data Sheet'!J93&gt;0,J12/'Data Sheet'!J93,0)</f>
        <v>134.1947430972057</v>
      </c>
      <c r="K13" s="6">
        <f>IF('Data Sheet'!K93&gt;0,K12/'Data Sheet'!K93,0)</f>
        <v>136.01061330532599</v>
      </c>
      <c r="L13" s="6">
        <f>IF('Data Sheet'!$B6&gt;0,'Profit &amp; Loss'!L12/'Data Sheet'!$B6,0)</f>
        <v>136.01383256547953</v>
      </c>
      <c r="M13" s="6">
        <f>IF('Data Sheet'!$B6&gt;0,'Profit &amp; Loss'!M12/'Data Sheet'!$B6,0)</f>
        <v>145.71441889480394</v>
      </c>
      <c r="N13" s="6">
        <f>IF('Data Sheet'!$B6&gt;0,'Profit &amp; Loss'!N12/'Data Sheet'!$B6,0)</f>
        <v>141.7030116190808</v>
      </c>
    </row>
    <row r="14" spans="1:14" x14ac:dyDescent="0.25">
      <c r="A14" t="s">
        <v>16</v>
      </c>
      <c r="B14" s="6">
        <f>IF(B15&gt;0,B15/B13,"")</f>
        <v>18.227168435467306</v>
      </c>
      <c r="C14" s="6">
        <f t="shared" ref="C14:K14" si="2">IF(C15&gt;0,C15/C13,"")</f>
        <v>21.118822070781381</v>
      </c>
      <c r="D14" s="6">
        <f t="shared" si="2"/>
        <v>23.865631227758012</v>
      </c>
      <c r="E14" s="6">
        <f t="shared" si="2"/>
        <v>21.188180705009277</v>
      </c>
      <c r="F14" s="6">
        <f t="shared" si="2"/>
        <v>36.247872139993838</v>
      </c>
      <c r="G14" s="6">
        <f t="shared" si="2"/>
        <v>35.705510593054505</v>
      </c>
      <c r="H14" s="6">
        <f t="shared" si="2"/>
        <v>27.832843832301233</v>
      </c>
      <c r="I14" s="6">
        <f t="shared" si="2"/>
        <v>30.549884617060208</v>
      </c>
      <c r="J14" s="6">
        <f t="shared" si="2"/>
        <v>26.872513160875748</v>
      </c>
      <c r="K14" s="6">
        <f t="shared" si="2"/>
        <v>17.343499471652105</v>
      </c>
      <c r="L14" s="6">
        <f t="shared" ref="L14" si="3">IF(L13&gt;0,L15/L13,0)</f>
        <v>18.784118878276772</v>
      </c>
      <c r="M14" s="6">
        <f>M25</f>
        <v>23.387504031966209</v>
      </c>
      <c r="N14" s="6">
        <f>N25</f>
        <v>18.784118878276772</v>
      </c>
    </row>
    <row r="15" spans="1:14" s="2" customFormat="1" x14ac:dyDescent="0.25">
      <c r="A15" s="2" t="s">
        <v>58</v>
      </c>
      <c r="B15" s="1">
        <f>'Data Sheet'!B90</f>
        <v>1215.9000000000001</v>
      </c>
      <c r="C15" s="1">
        <f>'Data Sheet'!C90</f>
        <v>1424.58</v>
      </c>
      <c r="D15" s="1">
        <f>'Data Sheet'!D90</f>
        <v>2001.65</v>
      </c>
      <c r="E15" s="1">
        <f>'Data Sheet'!E90</f>
        <v>1826.1</v>
      </c>
      <c r="F15" s="1">
        <f>'Data Sheet'!F90</f>
        <v>3177.85</v>
      </c>
      <c r="G15" s="1">
        <f>'Data Sheet'!G90</f>
        <v>3739.95</v>
      </c>
      <c r="H15" s="1">
        <f>'Data Sheet'!H90</f>
        <v>3205.9</v>
      </c>
      <c r="I15" s="1">
        <f>'Data Sheet'!I90</f>
        <v>3876.3</v>
      </c>
      <c r="J15" s="1">
        <f>'Data Sheet'!J90</f>
        <v>3606.15</v>
      </c>
      <c r="K15" s="1">
        <f>'Data Sheet'!K90</f>
        <v>2358.9</v>
      </c>
      <c r="L15" s="1">
        <f>'Data Sheet'!B8</f>
        <v>2554.9</v>
      </c>
      <c r="M15" s="8">
        <f>M13*M14</f>
        <v>3407.8965594178403</v>
      </c>
      <c r="N15" s="9">
        <f>N13*N14</f>
        <v>2661.7662156626484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0.35220054014987257</v>
      </c>
      <c r="C18" s="5">
        <f>IF('Data Sheet'!C30&gt;0, 'Data Sheet'!C31/'Data Sheet'!C30, 0)</f>
        <v>0.36978238983969641</v>
      </c>
      <c r="D18" s="5">
        <f>IF('Data Sheet'!D30&gt;0, 'Data Sheet'!D31/'Data Sheet'!D30, 0)</f>
        <v>0.3574605998983223</v>
      </c>
      <c r="E18" s="5">
        <f>IF('Data Sheet'!E30&gt;0, 'Data Sheet'!E31/'Data Sheet'!E30, 0)</f>
        <v>0.84647495361781078</v>
      </c>
      <c r="F18" s="5">
        <f>IF('Data Sheet'!F30&gt;0, 'Data Sheet'!F31/'Data Sheet'!F30, 0)</f>
        <v>0.4335491828553808</v>
      </c>
      <c r="G18" s="5">
        <f>IF('Data Sheet'!G30&gt;0, 'Data Sheet'!G31/'Data Sheet'!G30, 0)</f>
        <v>0.41062436402536073</v>
      </c>
      <c r="H18" s="5">
        <f>IF('Data Sheet'!H30&gt;0, 'Data Sheet'!H31/'Data Sheet'!H30, 0)</f>
        <v>0.99864759057584174</v>
      </c>
      <c r="I18" s="5">
        <f>IF('Data Sheet'!I30&gt;0, 'Data Sheet'!I31/'Data Sheet'!I30, 0)</f>
        <v>0.57562951990938394</v>
      </c>
      <c r="J18" s="5">
        <f>IF('Data Sheet'!J30&gt;0, 'Data Sheet'!J31/'Data Sheet'!J30, 0)</f>
        <v>0.93942701789796712</v>
      </c>
      <c r="K18" s="5">
        <f>IF('Data Sheet'!K30&gt;0, 'Data Sheet'!K31/'Data Sheet'!K30, 0)</f>
        <v>0.80918512497459871</v>
      </c>
    </row>
    <row r="19" spans="1:14" x14ac:dyDescent="0.25">
      <c r="A19" t="s">
        <v>18</v>
      </c>
      <c r="B19" s="5">
        <f t="shared" ref="B19:L19" si="4">IF(B6&gt;0,B6/B4,0)</f>
        <v>0.27390095451231711</v>
      </c>
      <c r="C19" s="5">
        <f t="shared" ref="C19:K19" si="5">IF(C6&gt;0,C6/C4,0)</f>
        <v>0.26413439043410447</v>
      </c>
      <c r="D19" s="5">
        <f t="shared" si="5"/>
        <v>0.26973365286795981</v>
      </c>
      <c r="E19" s="5">
        <f t="shared" si="5"/>
        <v>0.26829734499741953</v>
      </c>
      <c r="F19" s="5">
        <f t="shared" si="5"/>
        <v>0.28351108864213626</v>
      </c>
      <c r="G19" s="5">
        <f t="shared" si="5"/>
        <v>0.27669305464292793</v>
      </c>
      <c r="H19" s="5">
        <f t="shared" si="5"/>
        <v>0.26283831134845514</v>
      </c>
      <c r="I19" s="5">
        <f t="shared" si="5"/>
        <v>0.26690688396923118</v>
      </c>
      <c r="J19" s="5">
        <f t="shared" si="5"/>
        <v>0.26400573389105608</v>
      </c>
      <c r="K19" s="5">
        <f t="shared" si="5"/>
        <v>0.27113223304534101</v>
      </c>
      <c r="L19" s="5">
        <f t="shared" si="4"/>
        <v>0.27113223304534101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9.5017226945995237E-2</v>
      </c>
      <c r="I23" s="5">
        <f>IF(D4=0,"",POWER($K4/D4,1/7)-1)</f>
        <v>8.9581301888085552E-2</v>
      </c>
      <c r="J23" s="5">
        <f>IF(F4=0,"",POWER($K4/F4,1/5)-1)</f>
        <v>0.1021650124358422</v>
      </c>
      <c r="K23" s="5">
        <f>IF(H4=0,"",POWER($K4/H4, 1/3)-1)</f>
        <v>5.8018486193645913E-2</v>
      </c>
      <c r="L23" s="5">
        <f>IF(ISERROR(MAX(IF(J4=0,"",(K4-J4)/J4),IF(K4=0,"",(L4-K4)/K4))),"",MAX(IF(J4=0,"",(K4-J4)/J4),IF(K4=0,"",(L4-K4)/K4)))</f>
        <v>4.5812379564788272E-2</v>
      </c>
      <c r="M23" s="16">
        <f>MAX(K23:L23)</f>
        <v>5.8018486193645913E-2</v>
      </c>
      <c r="N23" s="16">
        <f>MIN(H23:L23)</f>
        <v>4.5812379564788272E-2</v>
      </c>
    </row>
    <row r="24" spans="1:14" x14ac:dyDescent="0.25">
      <c r="G24" t="s">
        <v>18</v>
      </c>
      <c r="H24" s="5">
        <f>IF(SUM(B4:$K$4)=0,"",SUMPRODUCT(B19:$K$19,B4:$K$4)/SUM(B4:$K$4))</f>
        <v>0.26965357742724216</v>
      </c>
      <c r="I24" s="5">
        <f>IF(SUM(E4:$K$4)=0,"",SUMPRODUCT(E19:$K$19,E4:$K$4)/SUM(E4:$K$4))</f>
        <v>0.26976456736122578</v>
      </c>
      <c r="J24" s="5">
        <f>IF(SUM(G4:$K$4)=0,"",SUMPRODUCT(G19:$K$19,G4:$K$4)/SUM(G4:$K$4))</f>
        <v>0.2680477783895972</v>
      </c>
      <c r="K24" s="5">
        <f>IF(SUM(I4:$K$4)=0, "", SUMPRODUCT(I19:$K$19,I4:$K$4)/SUM(I4:$K$4))</f>
        <v>0.26741462034123037</v>
      </c>
      <c r="L24" s="5">
        <f>L19</f>
        <v>0.27113223304534101</v>
      </c>
      <c r="M24" s="16">
        <f>MAX(K24:L24)</f>
        <v>0.27113223304534101</v>
      </c>
      <c r="N24" s="16">
        <f>MIN(H24:L24)</f>
        <v>0.26741462034123037</v>
      </c>
    </row>
    <row r="25" spans="1:14" x14ac:dyDescent="0.25">
      <c r="G25" t="s">
        <v>23</v>
      </c>
      <c r="H25" s="6">
        <f>IF(ISERROR(AVERAGEIF(B14:$L14,"&gt;0")),"",AVERAGEIF(B14:$L14,"&gt;0"))</f>
        <v>25.248731375657304</v>
      </c>
      <c r="I25" s="6">
        <f>IF(ISERROR(AVERAGEIF(E14:$L14,"&gt;0")),"",AVERAGEIF(E14:$L14,"&gt;0"))</f>
        <v>26.815552924777961</v>
      </c>
      <c r="J25" s="6">
        <f>IF(ISERROR(AVERAGEIF(G14:$L14,"&gt;0")),"",AVERAGEIF(G14:$L14,"&gt;0"))</f>
        <v>26.181395092203427</v>
      </c>
      <c r="K25" s="6">
        <f>IF(ISERROR(AVERAGEIF(I14:$L14,"&gt;0")),"",AVERAGEIF(I14:$L14,"&gt;0"))</f>
        <v>23.387504031966209</v>
      </c>
      <c r="L25" s="6">
        <f>L14</f>
        <v>18.784118878276772</v>
      </c>
      <c r="M25" s="1">
        <f>MAX(K25:L25)</f>
        <v>23.387504031966209</v>
      </c>
      <c r="N25" s="1">
        <f>MIN(H25:L25)</f>
        <v>18.784118878276772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TATA CONSULTANCY SERVICES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25">
      <c r="A4" s="2" t="s">
        <v>6</v>
      </c>
      <c r="B4" s="1">
        <f>'Data Sheet'!B42</f>
        <v>60583</v>
      </c>
      <c r="C4" s="1">
        <f>'Data Sheet'!C42</f>
        <v>61237</v>
      </c>
      <c r="D4" s="1">
        <f>'Data Sheet'!D42</f>
        <v>62613</v>
      </c>
      <c r="E4" s="1">
        <f>'Data Sheet'!E42</f>
        <v>64259</v>
      </c>
      <c r="F4" s="1">
        <f>'Data Sheet'!F42</f>
        <v>63973</v>
      </c>
      <c r="G4" s="1">
        <f>'Data Sheet'!G42</f>
        <v>64479</v>
      </c>
      <c r="H4" s="1">
        <f>'Data Sheet'!H42</f>
        <v>63437</v>
      </c>
      <c r="I4" s="1">
        <f>'Data Sheet'!I42</f>
        <v>65799</v>
      </c>
      <c r="J4" s="1">
        <f>'Data Sheet'!J42</f>
        <v>67087</v>
      </c>
      <c r="K4" s="1">
        <f>'Data Sheet'!K42</f>
        <v>70698</v>
      </c>
    </row>
    <row r="5" spans="1:11" x14ac:dyDescent="0.25">
      <c r="A5" t="s">
        <v>7</v>
      </c>
      <c r="B5" s="6">
        <f>'Data Sheet'!B43</f>
        <v>44195</v>
      </c>
      <c r="C5" s="6">
        <f>'Data Sheet'!C43</f>
        <v>44073</v>
      </c>
      <c r="D5" s="6">
        <f>'Data Sheet'!D43</f>
        <v>45951</v>
      </c>
      <c r="E5" s="6">
        <f>'Data Sheet'!E43</f>
        <v>47528</v>
      </c>
      <c r="F5" s="6">
        <f>'Data Sheet'!F43</f>
        <v>46939</v>
      </c>
      <c r="G5" s="6">
        <f>'Data Sheet'!G43</f>
        <v>47499</v>
      </c>
      <c r="H5" s="6">
        <f>'Data Sheet'!H43</f>
        <v>46562</v>
      </c>
      <c r="I5" s="6">
        <f>'Data Sheet'!I43</f>
        <v>47821</v>
      </c>
      <c r="J5" s="6">
        <f>'Data Sheet'!J43</f>
        <v>48818</v>
      </c>
      <c r="K5" s="6">
        <f>'Data Sheet'!K43</f>
        <v>51422</v>
      </c>
    </row>
    <row r="6" spans="1:11" s="2" customFormat="1" x14ac:dyDescent="0.25">
      <c r="A6" s="2" t="s">
        <v>8</v>
      </c>
      <c r="B6" s="1">
        <f>'Data Sheet'!B50</f>
        <v>16388</v>
      </c>
      <c r="C6" s="1">
        <f>'Data Sheet'!C50</f>
        <v>17164</v>
      </c>
      <c r="D6" s="1">
        <f>'Data Sheet'!D50</f>
        <v>16662</v>
      </c>
      <c r="E6" s="1">
        <f>'Data Sheet'!E50</f>
        <v>16731</v>
      </c>
      <c r="F6" s="1">
        <f>'Data Sheet'!F50</f>
        <v>17034</v>
      </c>
      <c r="G6" s="1">
        <f>'Data Sheet'!G50</f>
        <v>16980</v>
      </c>
      <c r="H6" s="1">
        <f>'Data Sheet'!H50</f>
        <v>16875</v>
      </c>
      <c r="I6" s="1">
        <f>'Data Sheet'!I50</f>
        <v>17978</v>
      </c>
      <c r="J6" s="1">
        <f>'Data Sheet'!J50</f>
        <v>18269</v>
      </c>
      <c r="K6" s="1">
        <f>'Data Sheet'!K50</f>
        <v>19276</v>
      </c>
    </row>
    <row r="7" spans="1:11" x14ac:dyDescent="0.25">
      <c r="A7" t="s">
        <v>9</v>
      </c>
      <c r="B7" s="6">
        <f>'Data Sheet'!B44</f>
        <v>-96</v>
      </c>
      <c r="C7" s="6">
        <f>'Data Sheet'!C44</f>
        <v>1157</v>
      </c>
      <c r="D7" s="6">
        <f>'Data Sheet'!D44</f>
        <v>962</v>
      </c>
      <c r="E7" s="6">
        <f>'Data Sheet'!E44</f>
        <v>729</v>
      </c>
      <c r="F7" s="6">
        <f>'Data Sheet'!F44</f>
        <v>1243</v>
      </c>
      <c r="G7" s="6">
        <f>'Data Sheet'!G44</f>
        <v>1028</v>
      </c>
      <c r="H7" s="6">
        <f>'Data Sheet'!H44</f>
        <v>1660</v>
      </c>
      <c r="I7" s="6">
        <f>'Data Sheet'!I44</f>
        <v>-268</v>
      </c>
      <c r="J7" s="6">
        <f>'Data Sheet'!J44</f>
        <v>-2273</v>
      </c>
      <c r="K7" s="6">
        <f>'Data Sheet'!K44</f>
        <v>757</v>
      </c>
    </row>
    <row r="8" spans="1:11" x14ac:dyDescent="0.25">
      <c r="A8" t="s">
        <v>10</v>
      </c>
      <c r="B8" s="6">
        <f>'Data Sheet'!B45</f>
        <v>1233</v>
      </c>
      <c r="C8" s="6">
        <f>'Data Sheet'!C45</f>
        <v>1246</v>
      </c>
      <c r="D8" s="6">
        <f>'Data Sheet'!D45</f>
        <v>1220</v>
      </c>
      <c r="E8" s="6">
        <f>'Data Sheet'!E45</f>
        <v>1266</v>
      </c>
      <c r="F8" s="6">
        <f>'Data Sheet'!F45</f>
        <v>1377</v>
      </c>
      <c r="G8" s="6">
        <f>'Data Sheet'!G45</f>
        <v>1379</v>
      </c>
      <c r="H8" s="6">
        <f>'Data Sheet'!H45</f>
        <v>1361</v>
      </c>
      <c r="I8" s="6">
        <f>'Data Sheet'!I45</f>
        <v>1413</v>
      </c>
      <c r="J8" s="6">
        <f>'Data Sheet'!J45</f>
        <v>1380</v>
      </c>
      <c r="K8" s="6">
        <f>'Data Sheet'!K45</f>
        <v>1406</v>
      </c>
    </row>
    <row r="9" spans="1:11" x14ac:dyDescent="0.25">
      <c r="A9" t="s">
        <v>11</v>
      </c>
      <c r="B9" s="6">
        <f>'Data Sheet'!B46</f>
        <v>230</v>
      </c>
      <c r="C9" s="6">
        <f>'Data Sheet'!C46</f>
        <v>226</v>
      </c>
      <c r="D9" s="6">
        <f>'Data Sheet'!D46</f>
        <v>173</v>
      </c>
      <c r="E9" s="6">
        <f>'Data Sheet'!E46</f>
        <v>162</v>
      </c>
      <c r="F9" s="6">
        <f>'Data Sheet'!F46</f>
        <v>234</v>
      </c>
      <c r="G9" s="6">
        <f>'Data Sheet'!G46</f>
        <v>227</v>
      </c>
      <c r="H9" s="6">
        <f>'Data Sheet'!H46</f>
        <v>195</v>
      </c>
      <c r="I9" s="6">
        <f>'Data Sheet'!I46</f>
        <v>229</v>
      </c>
      <c r="J9" s="6">
        <f>'Data Sheet'!J46</f>
        <v>538</v>
      </c>
      <c r="K9" s="6">
        <f>'Data Sheet'!K46</f>
        <v>265</v>
      </c>
    </row>
    <row r="10" spans="1:11" x14ac:dyDescent="0.25">
      <c r="A10" t="s">
        <v>12</v>
      </c>
      <c r="B10" s="6">
        <f>'Data Sheet'!B47</f>
        <v>14829</v>
      </c>
      <c r="C10" s="6">
        <f>'Data Sheet'!C47</f>
        <v>16849</v>
      </c>
      <c r="D10" s="6">
        <f>'Data Sheet'!D47</f>
        <v>16231</v>
      </c>
      <c r="E10" s="6">
        <f>'Data Sheet'!E47</f>
        <v>16032</v>
      </c>
      <c r="F10" s="6">
        <f>'Data Sheet'!F47</f>
        <v>16666</v>
      </c>
      <c r="G10" s="6">
        <f>'Data Sheet'!G47</f>
        <v>16402</v>
      </c>
      <c r="H10" s="6">
        <f>'Data Sheet'!H47</f>
        <v>16979</v>
      </c>
      <c r="I10" s="6">
        <f>'Data Sheet'!I47</f>
        <v>16068</v>
      </c>
      <c r="J10" s="6">
        <f>'Data Sheet'!J47</f>
        <v>14078</v>
      </c>
      <c r="K10" s="6">
        <f>'Data Sheet'!K47</f>
        <v>18362</v>
      </c>
    </row>
    <row r="11" spans="1:11" x14ac:dyDescent="0.25">
      <c r="A11" t="s">
        <v>13</v>
      </c>
      <c r="B11" s="6">
        <f>'Data Sheet'!B48</f>
        <v>3732</v>
      </c>
      <c r="C11" s="6">
        <f>'Data Sheet'!C48</f>
        <v>4347</v>
      </c>
      <c r="D11" s="6">
        <f>'Data Sheet'!D48</f>
        <v>4126</v>
      </c>
      <c r="E11" s="6">
        <f>'Data Sheet'!E48</f>
        <v>4077</v>
      </c>
      <c r="F11" s="6">
        <f>'Data Sheet'!F48</f>
        <v>4222</v>
      </c>
      <c r="G11" s="6">
        <f>'Data Sheet'!G48</f>
        <v>4109</v>
      </c>
      <c r="H11" s="6">
        <f>'Data Sheet'!H48</f>
        <v>4160</v>
      </c>
      <c r="I11" s="6">
        <f>'Data Sheet'!I48</f>
        <v>3937</v>
      </c>
      <c r="J11" s="6">
        <f>'Data Sheet'!J48</f>
        <v>3358</v>
      </c>
      <c r="K11" s="6">
        <f>'Data Sheet'!K48</f>
        <v>4578</v>
      </c>
    </row>
    <row r="12" spans="1:11" s="2" customFormat="1" x14ac:dyDescent="0.25">
      <c r="A12" s="2" t="s">
        <v>14</v>
      </c>
      <c r="B12" s="1">
        <f>'Data Sheet'!B49</f>
        <v>11058</v>
      </c>
      <c r="C12" s="1">
        <f>'Data Sheet'!C49</f>
        <v>12434</v>
      </c>
      <c r="D12" s="1">
        <f>'Data Sheet'!D49</f>
        <v>12040</v>
      </c>
      <c r="E12" s="1">
        <f>'Data Sheet'!E49</f>
        <v>11909</v>
      </c>
      <c r="F12" s="1">
        <f>'Data Sheet'!F49</f>
        <v>12380</v>
      </c>
      <c r="G12" s="1">
        <f>'Data Sheet'!G49</f>
        <v>12224</v>
      </c>
      <c r="H12" s="1">
        <f>'Data Sheet'!H49</f>
        <v>12760</v>
      </c>
      <c r="I12" s="1">
        <f>'Data Sheet'!I49</f>
        <v>12075</v>
      </c>
      <c r="J12" s="1">
        <f>'Data Sheet'!J49</f>
        <v>10657</v>
      </c>
      <c r="K12" s="1">
        <f>'Data Sheet'!K49</f>
        <v>13718</v>
      </c>
    </row>
    <row r="14" spans="1:11" s="2" customFormat="1" x14ac:dyDescent="0.25">
      <c r="A14" s="2" t="s">
        <v>18</v>
      </c>
      <c r="B14" s="10">
        <f>IF(B4&gt;0,B6/B4,"")</f>
        <v>0.27050492712477098</v>
      </c>
      <c r="C14" s="10">
        <f t="shared" ref="C14:K14" si="0">IF(C4&gt;0,C6/C4,"")</f>
        <v>0.28028806113950716</v>
      </c>
      <c r="D14" s="10">
        <f t="shared" si="0"/>
        <v>0.26611087154424801</v>
      </c>
      <c r="E14" s="10">
        <f t="shared" si="0"/>
        <v>0.2603681974509407</v>
      </c>
      <c r="F14" s="10">
        <f t="shared" si="0"/>
        <v>0.26626858205805576</v>
      </c>
      <c r="G14" s="10">
        <f t="shared" si="0"/>
        <v>0.2633415530637882</v>
      </c>
      <c r="H14" s="10">
        <f t="shared" si="0"/>
        <v>0.26601194886265112</v>
      </c>
      <c r="I14" s="10">
        <f t="shared" si="0"/>
        <v>0.27322603686986124</v>
      </c>
      <c r="J14" s="10">
        <f t="shared" si="0"/>
        <v>0.27231803479064498</v>
      </c>
      <c r="K14" s="10">
        <f t="shared" si="0"/>
        <v>0.27265269173102491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TATA CONSULTANCY SERVICES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197</v>
      </c>
      <c r="C4" s="14">
        <f>'Data Sheet'!C57</f>
        <v>191</v>
      </c>
      <c r="D4" s="14">
        <f>'Data Sheet'!D57</f>
        <v>375</v>
      </c>
      <c r="E4" s="14">
        <f>'Data Sheet'!E57</f>
        <v>375</v>
      </c>
      <c r="F4" s="14">
        <f>'Data Sheet'!F57</f>
        <v>370</v>
      </c>
      <c r="G4" s="14">
        <f>'Data Sheet'!G57</f>
        <v>366</v>
      </c>
      <c r="H4" s="14">
        <f>'Data Sheet'!H57</f>
        <v>366</v>
      </c>
      <c r="I4" s="14">
        <f>'Data Sheet'!I57</f>
        <v>362</v>
      </c>
      <c r="J4" s="14">
        <f>'Data Sheet'!J57</f>
        <v>362</v>
      </c>
      <c r="K4" s="14">
        <f>'Data Sheet'!K57</f>
        <v>362</v>
      </c>
    </row>
    <row r="5" spans="1:11" x14ac:dyDescent="0.25">
      <c r="A5" t="s">
        <v>25</v>
      </c>
      <c r="B5" s="14">
        <f>'Data Sheet'!B58</f>
        <v>86017</v>
      </c>
      <c r="C5" s="14">
        <f>'Data Sheet'!C58</f>
        <v>84937</v>
      </c>
      <c r="D5" s="14">
        <f>'Data Sheet'!D58</f>
        <v>89071</v>
      </c>
      <c r="E5" s="14">
        <f>'Data Sheet'!E58</f>
        <v>83751</v>
      </c>
      <c r="F5" s="14">
        <f>'Data Sheet'!F58</f>
        <v>86063</v>
      </c>
      <c r="G5" s="14">
        <f>'Data Sheet'!G58</f>
        <v>88773</v>
      </c>
      <c r="H5" s="14">
        <f>'Data Sheet'!H58</f>
        <v>90058</v>
      </c>
      <c r="I5" s="14">
        <f>'Data Sheet'!I58</f>
        <v>90127</v>
      </c>
      <c r="J5" s="14">
        <f>'Data Sheet'!J58</f>
        <v>94394</v>
      </c>
      <c r="K5" s="14">
        <f>'Data Sheet'!K58</f>
        <v>106878</v>
      </c>
    </row>
    <row r="6" spans="1:11" x14ac:dyDescent="0.25">
      <c r="A6" t="s">
        <v>71</v>
      </c>
      <c r="B6" s="14">
        <f>'Data Sheet'!B59</f>
        <v>289</v>
      </c>
      <c r="C6" s="14">
        <f>'Data Sheet'!C59</f>
        <v>247</v>
      </c>
      <c r="D6" s="14">
        <f>'Data Sheet'!D59</f>
        <v>62</v>
      </c>
      <c r="E6" s="14">
        <f>'Data Sheet'!E59</f>
        <v>8174</v>
      </c>
      <c r="F6" s="14">
        <f>'Data Sheet'!F59</f>
        <v>7795</v>
      </c>
      <c r="G6" s="14">
        <f>'Data Sheet'!G59</f>
        <v>7818</v>
      </c>
      <c r="H6" s="14">
        <f>'Data Sheet'!H59</f>
        <v>7688</v>
      </c>
      <c r="I6" s="14">
        <f>'Data Sheet'!I59</f>
        <v>8021</v>
      </c>
      <c r="J6" s="14">
        <f>'Data Sheet'!J59</f>
        <v>9392</v>
      </c>
      <c r="K6" s="14">
        <f>'Data Sheet'!K59</f>
        <v>11283</v>
      </c>
    </row>
    <row r="7" spans="1:11" x14ac:dyDescent="0.25">
      <c r="A7" t="s">
        <v>72</v>
      </c>
      <c r="B7" s="14">
        <f>'Data Sheet'!B60</f>
        <v>15830</v>
      </c>
      <c r="C7" s="14">
        <f>'Data Sheet'!C60</f>
        <v>19751</v>
      </c>
      <c r="D7" s="14">
        <f>'Data Sheet'!D60</f>
        <v>24393</v>
      </c>
      <c r="E7" s="14">
        <f>'Data Sheet'!E60</f>
        <v>27827</v>
      </c>
      <c r="F7" s="14">
        <f>'Data Sheet'!F60</f>
        <v>35764</v>
      </c>
      <c r="G7" s="14">
        <f>'Data Sheet'!G60</f>
        <v>43967</v>
      </c>
      <c r="H7" s="14">
        <f>'Data Sheet'!H60</f>
        <v>44747</v>
      </c>
      <c r="I7" s="14">
        <f>'Data Sheet'!I60</f>
        <v>46962</v>
      </c>
      <c r="J7" s="14">
        <f>'Data Sheet'!J60</f>
        <v>54501</v>
      </c>
      <c r="K7" s="14">
        <f>'Data Sheet'!K60</f>
        <v>63849</v>
      </c>
    </row>
    <row r="8" spans="1:11" s="2" customFormat="1" x14ac:dyDescent="0.25">
      <c r="A8" s="2" t="s">
        <v>26</v>
      </c>
      <c r="B8" s="15">
        <f>'Data Sheet'!B61</f>
        <v>102333</v>
      </c>
      <c r="C8" s="15">
        <f>'Data Sheet'!C61</f>
        <v>105126</v>
      </c>
      <c r="D8" s="15">
        <f>'Data Sheet'!D61</f>
        <v>113901</v>
      </c>
      <c r="E8" s="15">
        <f>'Data Sheet'!E61</f>
        <v>120127</v>
      </c>
      <c r="F8" s="15">
        <f>'Data Sheet'!F61</f>
        <v>129992</v>
      </c>
      <c r="G8" s="15">
        <f>'Data Sheet'!G61</f>
        <v>140924</v>
      </c>
      <c r="H8" s="15">
        <f>'Data Sheet'!H61</f>
        <v>142859</v>
      </c>
      <c r="I8" s="15">
        <f>'Data Sheet'!I61</f>
        <v>145472</v>
      </c>
      <c r="J8" s="15">
        <f>'Data Sheet'!J61</f>
        <v>158649</v>
      </c>
      <c r="K8" s="15">
        <f>'Data Sheet'!K61</f>
        <v>182372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11701</v>
      </c>
      <c r="C10" s="14">
        <f>'Data Sheet'!C62</f>
        <v>11973</v>
      </c>
      <c r="D10" s="14">
        <f>'Data Sheet'!D62</f>
        <v>12290</v>
      </c>
      <c r="E10" s="14">
        <f>'Data Sheet'!E62</f>
        <v>20928</v>
      </c>
      <c r="F10" s="14">
        <f>'Data Sheet'!F62</f>
        <v>21021</v>
      </c>
      <c r="G10" s="14">
        <f>'Data Sheet'!G62</f>
        <v>21298</v>
      </c>
      <c r="H10" s="14">
        <f>'Data Sheet'!H62</f>
        <v>20515</v>
      </c>
      <c r="I10" s="14">
        <f>'Data Sheet'!I62</f>
        <v>19604</v>
      </c>
      <c r="J10" s="14">
        <f>'Data Sheet'!J62</f>
        <v>23053</v>
      </c>
      <c r="K10" s="14">
        <f>'Data Sheet'!K62</f>
        <v>31343</v>
      </c>
    </row>
    <row r="11" spans="1:11" x14ac:dyDescent="0.25">
      <c r="A11" t="s">
        <v>28</v>
      </c>
      <c r="B11" s="14">
        <f>'Data Sheet'!B63</f>
        <v>1541</v>
      </c>
      <c r="C11" s="14">
        <f>'Data Sheet'!C63</f>
        <v>1278</v>
      </c>
      <c r="D11" s="14">
        <f>'Data Sheet'!D63</f>
        <v>963</v>
      </c>
      <c r="E11" s="14">
        <f>'Data Sheet'!E63</f>
        <v>906</v>
      </c>
      <c r="F11" s="14">
        <f>'Data Sheet'!F63</f>
        <v>926</v>
      </c>
      <c r="G11" s="14">
        <f>'Data Sheet'!G63</f>
        <v>1205</v>
      </c>
      <c r="H11" s="14">
        <f>'Data Sheet'!H63</f>
        <v>1234</v>
      </c>
      <c r="I11" s="14">
        <f>'Data Sheet'!I63</f>
        <v>1564</v>
      </c>
      <c r="J11" s="14">
        <f>'Data Sheet'!J63</f>
        <v>1546</v>
      </c>
      <c r="K11" s="14">
        <f>'Data Sheet'!K63</f>
        <v>2665</v>
      </c>
    </row>
    <row r="12" spans="1:11" x14ac:dyDescent="0.25">
      <c r="A12" t="s">
        <v>29</v>
      </c>
      <c r="B12" s="14">
        <f>'Data Sheet'!B64</f>
        <v>41980</v>
      </c>
      <c r="C12" s="14">
        <f>'Data Sheet'!C64</f>
        <v>36008</v>
      </c>
      <c r="D12" s="14">
        <f>'Data Sheet'!D64</f>
        <v>29330</v>
      </c>
      <c r="E12" s="14">
        <f>'Data Sheet'!E64</f>
        <v>26356</v>
      </c>
      <c r="F12" s="14">
        <f>'Data Sheet'!F64</f>
        <v>29373</v>
      </c>
      <c r="G12" s="14">
        <f>'Data Sheet'!G64</f>
        <v>30485</v>
      </c>
      <c r="H12" s="14">
        <f>'Data Sheet'!H64</f>
        <v>37163</v>
      </c>
      <c r="I12" s="14">
        <f>'Data Sheet'!I64</f>
        <v>31762</v>
      </c>
      <c r="J12" s="14">
        <f>'Data Sheet'!J64</f>
        <v>30964</v>
      </c>
      <c r="K12" s="14">
        <f>'Data Sheet'!K64</f>
        <v>33988</v>
      </c>
    </row>
    <row r="13" spans="1:11" x14ac:dyDescent="0.25">
      <c r="A13" t="s">
        <v>73</v>
      </c>
      <c r="B13" s="14">
        <f>'Data Sheet'!B65</f>
        <v>47111</v>
      </c>
      <c r="C13" s="14">
        <f>'Data Sheet'!C65</f>
        <v>55867</v>
      </c>
      <c r="D13" s="14">
        <f>'Data Sheet'!D65</f>
        <v>71318</v>
      </c>
      <c r="E13" s="14">
        <f>'Data Sheet'!E65</f>
        <v>71937</v>
      </c>
      <c r="F13" s="14">
        <f>'Data Sheet'!F65</f>
        <v>78672</v>
      </c>
      <c r="G13" s="14">
        <f>'Data Sheet'!G65</f>
        <v>87936</v>
      </c>
      <c r="H13" s="14">
        <f>'Data Sheet'!H65</f>
        <v>83947</v>
      </c>
      <c r="I13" s="14">
        <f>'Data Sheet'!I65</f>
        <v>92542</v>
      </c>
      <c r="J13" s="14">
        <f>'Data Sheet'!J65</f>
        <v>103086</v>
      </c>
      <c r="K13" s="14">
        <f>'Data Sheet'!K65</f>
        <v>114376</v>
      </c>
    </row>
    <row r="14" spans="1:11" s="2" customFormat="1" x14ac:dyDescent="0.25">
      <c r="A14" s="2" t="s">
        <v>26</v>
      </c>
      <c r="B14" s="14">
        <f>'Data Sheet'!B66</f>
        <v>102333</v>
      </c>
      <c r="C14" s="14">
        <f>'Data Sheet'!C66</f>
        <v>105126</v>
      </c>
      <c r="D14" s="14">
        <f>'Data Sheet'!D66</f>
        <v>113901</v>
      </c>
      <c r="E14" s="14">
        <f>'Data Sheet'!E66</f>
        <v>120127</v>
      </c>
      <c r="F14" s="14">
        <f>'Data Sheet'!F66</f>
        <v>129992</v>
      </c>
      <c r="G14" s="14">
        <f>'Data Sheet'!G66</f>
        <v>140924</v>
      </c>
      <c r="H14" s="14">
        <f>'Data Sheet'!H66</f>
        <v>142859</v>
      </c>
      <c r="I14" s="14">
        <f>'Data Sheet'!I66</f>
        <v>145472</v>
      </c>
      <c r="J14" s="14">
        <f>'Data Sheet'!J66</f>
        <v>158649</v>
      </c>
      <c r="K14" s="14">
        <f>'Data Sheet'!K66</f>
        <v>182372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31281</v>
      </c>
      <c r="C16" s="4">
        <f t="shared" ref="C16:K16" si="0">C13-C7</f>
        <v>36116</v>
      </c>
      <c r="D16" s="4">
        <f t="shared" si="0"/>
        <v>46925</v>
      </c>
      <c r="E16" s="4">
        <f t="shared" si="0"/>
        <v>44110</v>
      </c>
      <c r="F16" s="4">
        <f t="shared" si="0"/>
        <v>42908</v>
      </c>
      <c r="G16" s="4">
        <f t="shared" si="0"/>
        <v>43969</v>
      </c>
      <c r="H16" s="4">
        <f t="shared" si="0"/>
        <v>39200</v>
      </c>
      <c r="I16" s="4">
        <f t="shared" si="0"/>
        <v>45580</v>
      </c>
      <c r="J16" s="4">
        <f t="shared" si="0"/>
        <v>48585</v>
      </c>
      <c r="K16" s="4">
        <f t="shared" si="0"/>
        <v>50527</v>
      </c>
    </row>
    <row r="17" spans="1:11" x14ac:dyDescent="0.25">
      <c r="A17" t="s">
        <v>44</v>
      </c>
      <c r="B17" s="4">
        <f>'Data Sheet'!B67</f>
        <v>22617</v>
      </c>
      <c r="C17" s="4">
        <f>'Data Sheet'!C67</f>
        <v>24943</v>
      </c>
      <c r="D17" s="4">
        <f>'Data Sheet'!D67</f>
        <v>27346</v>
      </c>
      <c r="E17" s="4">
        <f>'Data Sheet'!E67</f>
        <v>30532</v>
      </c>
      <c r="F17" s="4">
        <f>'Data Sheet'!F67</f>
        <v>30079</v>
      </c>
      <c r="G17" s="4">
        <f>'Data Sheet'!G67</f>
        <v>41810</v>
      </c>
      <c r="H17" s="4">
        <f>'Data Sheet'!H67</f>
        <v>49954</v>
      </c>
      <c r="I17" s="4">
        <f>'Data Sheet'!I67</f>
        <v>53577</v>
      </c>
      <c r="J17" s="4">
        <f>'Data Sheet'!J67</f>
        <v>59046</v>
      </c>
      <c r="K17" s="4">
        <f>'Data Sheet'!K67</f>
        <v>57630</v>
      </c>
    </row>
    <row r="18" spans="1:11" x14ac:dyDescent="0.25">
      <c r="A18" t="s">
        <v>45</v>
      </c>
      <c r="B18" s="4">
        <f>'Data Sheet'!B68</f>
        <v>21</v>
      </c>
      <c r="C18" s="4">
        <f>'Data Sheet'!C68</f>
        <v>26</v>
      </c>
      <c r="D18" s="4">
        <f>'Data Sheet'!D68</f>
        <v>10</v>
      </c>
      <c r="E18" s="4">
        <f>'Data Sheet'!E68</f>
        <v>5</v>
      </c>
      <c r="F18" s="4">
        <f>'Data Sheet'!F68</f>
        <v>8</v>
      </c>
      <c r="G18" s="4">
        <f>'Data Sheet'!G68</f>
        <v>20</v>
      </c>
      <c r="H18" s="4">
        <f>'Data Sheet'!H68</f>
        <v>28</v>
      </c>
      <c r="I18" s="4">
        <f>'Data Sheet'!I68</f>
        <v>28</v>
      </c>
      <c r="J18" s="4">
        <f>'Data Sheet'!J68</f>
        <v>21</v>
      </c>
      <c r="K18" s="4">
        <f>'Data Sheet'!K68</f>
        <v>29</v>
      </c>
    </row>
    <row r="20" spans="1:11" x14ac:dyDescent="0.25">
      <c r="A20" t="s">
        <v>46</v>
      </c>
      <c r="B20" s="4">
        <f>IF('Profit &amp; Loss'!B4&gt;0,'Balance Sheet'!B17/('Profit &amp; Loss'!B4/365),0)</f>
        <v>69.979527999593103</v>
      </c>
      <c r="C20" s="4">
        <f>IF('Profit &amp; Loss'!C4&gt;0,'Balance Sheet'!C17/('Profit &amp; Loss'!C4/365),0)</f>
        <v>73.955314205874714</v>
      </c>
      <c r="D20" s="4">
        <f>IF('Profit &amp; Loss'!D4&gt;0,'Balance Sheet'!D17/('Profit &amp; Loss'!D4/365),0)</f>
        <v>68.148884018489312</v>
      </c>
      <c r="E20" s="4">
        <f>IF('Profit &amp; Loss'!E4&gt;0,'Balance Sheet'!E17/('Profit &amp; Loss'!E4/365),0)</f>
        <v>71.005103568675182</v>
      </c>
      <c r="F20" s="4">
        <f>IF('Profit &amp; Loss'!F4&gt;0,'Balance Sheet'!F17/('Profit &amp; Loss'!F4/365),0)</f>
        <v>66.871943085815914</v>
      </c>
      <c r="G20" s="4">
        <f>IF('Profit &amp; Loss'!G4&gt;0,'Balance Sheet'!G17/('Profit &amp; Loss'!G4/365),0)</f>
        <v>79.584519749262085</v>
      </c>
      <c r="H20" s="4">
        <f>IF('Profit &amp; Loss'!H4&gt;0,'Balance Sheet'!H17/('Profit &amp; Loss'!H4/365),0)</f>
        <v>80.871869705222252</v>
      </c>
      <c r="I20" s="4">
        <f>IF('Profit &amp; Loss'!I4&gt;0,'Balance Sheet'!I17/('Profit &amp; Loss'!I4/365),0)</f>
        <v>81.179631620678052</v>
      </c>
      <c r="J20" s="4">
        <f>IF('Profit &amp; Loss'!J4&gt;0,'Balance Sheet'!J17/('Profit &amp; Loss'!J4/365),0)</f>
        <v>84.409573718099367</v>
      </c>
      <c r="K20" s="4">
        <f>IF('Profit &amp; Loss'!K4&gt;0,'Balance Sheet'!K17/('Profit &amp; Loss'!K4/365),0)</f>
        <v>78.776388373948123</v>
      </c>
    </row>
    <row r="21" spans="1:11" x14ac:dyDescent="0.25">
      <c r="A21" t="s">
        <v>47</v>
      </c>
      <c r="B21" s="4">
        <f>IF('Balance Sheet'!B18&gt;0,'Profit &amp; Loss'!B4/'Balance Sheet'!B18,0)</f>
        <v>5617.4285714285716</v>
      </c>
      <c r="C21" s="4">
        <f>IF('Balance Sheet'!C18&gt;0,'Profit &amp; Loss'!C4/'Balance Sheet'!C18,0)</f>
        <v>4734.7692307692305</v>
      </c>
      <c r="D21" s="4">
        <f>IF('Balance Sheet'!D18&gt;0,'Profit &amp; Loss'!D4/'Balance Sheet'!D18,0)</f>
        <v>14646.3</v>
      </c>
      <c r="E21" s="4">
        <f>IF('Balance Sheet'!E18&gt;0,'Profit &amp; Loss'!E4/'Balance Sheet'!E18,0)</f>
        <v>31389.8</v>
      </c>
      <c r="F21" s="4">
        <f>IF('Balance Sheet'!F18&gt;0,'Profit &amp; Loss'!F4/'Balance Sheet'!F18,0)</f>
        <v>20522.125</v>
      </c>
      <c r="G21" s="4">
        <f>IF('Balance Sheet'!G18&gt;0,'Profit &amp; Loss'!G4/'Balance Sheet'!G18,0)</f>
        <v>9587.7000000000007</v>
      </c>
      <c r="H21" s="4">
        <f>IF('Balance Sheet'!H18&gt;0,'Profit &amp; Loss'!H4/'Balance Sheet'!H18,0)</f>
        <v>8052.0714285714284</v>
      </c>
      <c r="I21" s="4">
        <f>IF('Balance Sheet'!I18&gt;0,'Profit &amp; Loss'!I4/'Balance Sheet'!I18,0)</f>
        <v>8603.3214285714294</v>
      </c>
      <c r="J21" s="4">
        <f>IF('Balance Sheet'!J18&gt;0,'Profit &amp; Loss'!J4/'Balance Sheet'!J18,0)</f>
        <v>12158.285714285714</v>
      </c>
      <c r="K21" s="4">
        <f>IF('Balance Sheet'!K18&gt;0,'Profit &amp; Loss'!K4/'Balance Sheet'!K18,0)</f>
        <v>9207.6206896551721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0.30492727399262298</v>
      </c>
      <c r="C23" s="10">
        <f>IF(SUM('Balance Sheet'!C4:C5)&gt;0,'Profit &amp; Loss'!C12/SUM('Balance Sheet'!C4:C5),"")</f>
        <v>0.30337844187576357</v>
      </c>
      <c r="D23" s="10">
        <f>IF(SUM('Balance Sheet'!D4:D5)&gt;0,'Profit &amp; Loss'!D12/SUM('Balance Sheet'!D4:D5),"")</f>
        <v>0.35185475035216779</v>
      </c>
      <c r="E23" s="10">
        <f>IF(SUM('Balance Sheet'!E4:E5)&gt;0,'Profit &amp; Loss'!E12/SUM('Balance Sheet'!E4:E5),"")</f>
        <v>0.38442336495257112</v>
      </c>
      <c r="F23" s="10">
        <f>IF(SUM('Balance Sheet'!F4:F5)&gt;0,'Profit &amp; Loss'!F12/SUM('Balance Sheet'!F4:F5),"")</f>
        <v>0.37520391517128876</v>
      </c>
      <c r="G23" s="10">
        <f>IF(SUM('Balance Sheet'!G4:G5)&gt;0,'Profit &amp; Loss'!G12/SUM('Balance Sheet'!G4:G5),"")</f>
        <v>0.42996892493745725</v>
      </c>
      <c r="H23" s="10">
        <f>IF(SUM('Balance Sheet'!H4:H5)&gt;0,'Profit &amp; Loss'!H12/SUM('Balance Sheet'!H4:H5),"")</f>
        <v>0.46610413164646552</v>
      </c>
      <c r="I23" s="10">
        <f>IF(SUM('Balance Sheet'!I4:I5)&gt;0,'Profit &amp; Loss'!I12/SUM('Balance Sheet'!I4:I5),"")</f>
        <v>0.50733238294157301</v>
      </c>
      <c r="J23" s="10">
        <f>IF(SUM('Balance Sheet'!J4:J5)&gt;0,'Profit &amp; Loss'!J12/SUM('Balance Sheet'!J4:J5),"")</f>
        <v>0.51240027016758838</v>
      </c>
      <c r="K23" s="10">
        <f>IF(SUM('Balance Sheet'!K4:K5)&gt;0,'Profit &amp; Loss'!K12/SUM('Balance Sheet'!K4:K5),"")</f>
        <v>0.45887728459530025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0.39730506522067977</v>
      </c>
      <c r="D24" s="10">
        <f>IF((C4+C5+C6+D4+D5+D6)&gt;0,('Profit &amp; Loss'!D10+'Profit &amp; Loss'!D9)*2/(C4+C5+C6+D4+D5+D6),"")</f>
        <v>0.47758787303511491</v>
      </c>
      <c r="E24" s="10">
        <f>IF((D4+D5+D6+E4+E5+E6)&gt;0,('Profit &amp; Loss'!E10+'Profit &amp; Loss'!E9)*2/(D4+D5+D6+E4+E5+E6),"")</f>
        <v>0.47491859544134474</v>
      </c>
      <c r="F24" s="10">
        <f>IF((E4+E5+E6+F4+F5+F6)&gt;0,('Profit &amp; Loss'!F10+'Profit &amp; Loss'!F9)*2/(E4+E5+E6+F4+F5+F6),"")</f>
        <v>0.4760357694287185</v>
      </c>
      <c r="G24" s="10">
        <f>IF((F4+F5+F6+G4+G5+G6)&gt;0,('Profit &amp; Loss'!G10+'Profit &amp; Loss'!G9)*2/(F4+F5+F6+G4+G5+G6),"")</f>
        <v>0.54890289510160317</v>
      </c>
      <c r="H24" s="10">
        <f>IF((G4+G5+G6+H4+H5+H6)&gt;0,('Profit &amp; Loss'!H10+'Profit &amp; Loss'!H9)*2/(G4+G5+G6+H4+H5+H6),"")</f>
        <v>0.59144200257344837</v>
      </c>
      <c r="I24" s="10">
        <f>IF((H4+H5+H6+I4+I5+I6)&gt;0,('Profit &amp; Loss'!I10+'Profit &amp; Loss'!I9)*2/(H4+H5+H6+I4+I5+I6),"")</f>
        <v>0.63853485367863205</v>
      </c>
      <c r="J24" s="10">
        <f>IF((I4+I5+I6+J4+J5+J6)&gt;0,('Profit &amp; Loss'!J10+'Profit &amp; Loss'!J9)*2/(I4+I5+I6+J4+J5+J6),"")</f>
        <v>0.65259698605532468</v>
      </c>
      <c r="K24" s="10">
        <f>IF((J4+J5+J6+K4+K5+K6)&gt;0,('Profit &amp; Loss'!K10+'Profit &amp; Loss'!K9)*2/(J4+J5+J6+K4+K5+K6),"")</f>
        <v>0.59921588352322486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TATA CONSULTANCY SERVICES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25223</v>
      </c>
      <c r="C4" s="1">
        <f>'Data Sheet'!C82</f>
        <v>25067</v>
      </c>
      <c r="D4" s="1">
        <f>'Data Sheet'!D82</f>
        <v>28593</v>
      </c>
      <c r="E4" s="1">
        <f>'Data Sheet'!E82</f>
        <v>32369</v>
      </c>
      <c r="F4" s="1">
        <f>'Data Sheet'!F82</f>
        <v>38802</v>
      </c>
      <c r="G4" s="1">
        <f>'Data Sheet'!G82</f>
        <v>39949</v>
      </c>
      <c r="H4" s="1">
        <f>'Data Sheet'!H82</f>
        <v>41965</v>
      </c>
      <c r="I4" s="1">
        <f>'Data Sheet'!I82</f>
        <v>44338</v>
      </c>
      <c r="J4" s="1">
        <f>'Data Sheet'!J82</f>
        <v>48908</v>
      </c>
      <c r="K4" s="1">
        <f>'Data Sheet'!K82</f>
        <v>52094</v>
      </c>
    </row>
    <row r="5" spans="1:11" x14ac:dyDescent="0.25">
      <c r="A5" t="s">
        <v>33</v>
      </c>
      <c r="B5" s="6">
        <f>'Data Sheet'!B83</f>
        <v>-16895</v>
      </c>
      <c r="C5" s="6">
        <f>'Data Sheet'!C83</f>
        <v>3104</v>
      </c>
      <c r="D5" s="6">
        <f>'Data Sheet'!D83</f>
        <v>1645</v>
      </c>
      <c r="E5" s="6">
        <f>'Data Sheet'!E83</f>
        <v>8968</v>
      </c>
      <c r="F5" s="6">
        <f>'Data Sheet'!F83</f>
        <v>-7956</v>
      </c>
      <c r="G5" s="6">
        <f>'Data Sheet'!G83</f>
        <v>-738</v>
      </c>
      <c r="H5" s="6">
        <f>'Data Sheet'!H83</f>
        <v>548</v>
      </c>
      <c r="I5" s="6">
        <f>'Data Sheet'!I83</f>
        <v>6091</v>
      </c>
      <c r="J5" s="6">
        <f>'Data Sheet'!J83</f>
        <v>-2144</v>
      </c>
      <c r="K5" s="6">
        <f>'Data Sheet'!K83</f>
        <v>-12845</v>
      </c>
    </row>
    <row r="6" spans="1:11" x14ac:dyDescent="0.25">
      <c r="A6" t="s">
        <v>34</v>
      </c>
      <c r="B6" s="6">
        <f>'Data Sheet'!B84</f>
        <v>-11026</v>
      </c>
      <c r="C6" s="6">
        <f>'Data Sheet'!C84</f>
        <v>-26885</v>
      </c>
      <c r="D6" s="6">
        <f>'Data Sheet'!D84</f>
        <v>-27897</v>
      </c>
      <c r="E6" s="6">
        <f>'Data Sheet'!E84</f>
        <v>-39915</v>
      </c>
      <c r="F6" s="6">
        <f>'Data Sheet'!F84</f>
        <v>-32634</v>
      </c>
      <c r="G6" s="6">
        <f>'Data Sheet'!G84</f>
        <v>-33581</v>
      </c>
      <c r="H6" s="6">
        <f>'Data Sheet'!H84</f>
        <v>-47878</v>
      </c>
      <c r="I6" s="6">
        <f>'Data Sheet'!I84</f>
        <v>-48536</v>
      </c>
      <c r="J6" s="6">
        <f>'Data Sheet'!J84</f>
        <v>-47438</v>
      </c>
      <c r="K6" s="6">
        <f>'Data Sheet'!K84</f>
        <v>-42133</v>
      </c>
    </row>
    <row r="7" spans="1:11" s="2" customFormat="1" x14ac:dyDescent="0.25">
      <c r="A7" s="2" t="s">
        <v>35</v>
      </c>
      <c r="B7" s="1">
        <f>'Data Sheet'!B85</f>
        <v>-2698</v>
      </c>
      <c r="C7" s="1">
        <f>'Data Sheet'!C85</f>
        <v>1286</v>
      </c>
      <c r="D7" s="1">
        <f>'Data Sheet'!D85</f>
        <v>2341</v>
      </c>
      <c r="E7" s="1">
        <f>'Data Sheet'!E85</f>
        <v>1422</v>
      </c>
      <c r="F7" s="1">
        <f>'Data Sheet'!F85</f>
        <v>-1788</v>
      </c>
      <c r="G7" s="1">
        <f>'Data Sheet'!G85</f>
        <v>5630</v>
      </c>
      <c r="H7" s="1">
        <f>'Data Sheet'!H85</f>
        <v>-5365</v>
      </c>
      <c r="I7" s="1">
        <f>'Data Sheet'!I85</f>
        <v>1893</v>
      </c>
      <c r="J7" s="1">
        <f>'Data Sheet'!J85</f>
        <v>-674</v>
      </c>
      <c r="K7" s="1">
        <f>'Data Sheet'!K85</f>
        <v>-2884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K93"/>
  <sheetViews>
    <sheetView tabSelected="1" zoomScale="120" zoomScaleNormal="120" zoomScalePageLayoutView="120" workbookViewId="0">
      <pane xSplit="1" ySplit="1" topLeftCell="C15" activePane="bottomRight" state="frozen"/>
      <selection activeCell="C4" sqref="C4"/>
      <selection pane="topRight" activeCell="C4" sqref="C4"/>
      <selection pane="bottomLeft" activeCell="C4" sqref="C4"/>
      <selection pane="bottomRight" activeCell="F25" sqref="F25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25">
      <c r="A2" s="1" t="s">
        <v>61</v>
      </c>
      <c r="B2" s="4">
        <v>2.1</v>
      </c>
      <c r="E2" s="162" t="s">
        <v>36</v>
      </c>
      <c r="F2" s="162"/>
      <c r="G2" s="162"/>
      <c r="H2" s="162"/>
      <c r="I2" s="162"/>
      <c r="J2" s="162"/>
      <c r="K2" s="162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361.80143645543853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2554.9</v>
      </c>
    </row>
    <row r="9" spans="1:11" x14ac:dyDescent="0.25">
      <c r="A9" s="4" t="s">
        <v>79</v>
      </c>
      <c r="B9">
        <v>924366.49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117966</v>
      </c>
      <c r="C17">
        <v>123104</v>
      </c>
      <c r="D17">
        <v>146463</v>
      </c>
      <c r="E17">
        <v>156949</v>
      </c>
      <c r="F17">
        <v>164177</v>
      </c>
      <c r="G17">
        <v>191754</v>
      </c>
      <c r="H17">
        <v>225458</v>
      </c>
      <c r="I17">
        <v>240893</v>
      </c>
      <c r="J17">
        <v>255324</v>
      </c>
      <c r="K17">
        <v>267021</v>
      </c>
    </row>
    <row r="18" spans="1:11" s="6" customFormat="1" x14ac:dyDescent="0.25">
      <c r="A18" s="4" t="s">
        <v>80</v>
      </c>
      <c r="B18">
        <v>94</v>
      </c>
      <c r="C18">
        <v>86</v>
      </c>
      <c r="D18">
        <v>40</v>
      </c>
      <c r="E18">
        <v>18</v>
      </c>
      <c r="F18">
        <v>14</v>
      </c>
      <c r="G18">
        <v>29</v>
      </c>
      <c r="H18">
        <v>37</v>
      </c>
      <c r="I18">
        <v>42</v>
      </c>
      <c r="J18">
        <v>49</v>
      </c>
      <c r="K18"/>
    </row>
    <row r="19" spans="1:11" s="6" customFormat="1" x14ac:dyDescent="0.25">
      <c r="A19" s="4" t="s">
        <v>81</v>
      </c>
      <c r="B19">
        <v>1</v>
      </c>
      <c r="C19"/>
      <c r="D19"/>
      <c r="E19"/>
      <c r="F19"/>
      <c r="G19"/>
      <c r="H19"/>
      <c r="I19"/>
      <c r="J19"/>
      <c r="K19"/>
    </row>
    <row r="20" spans="1:11" s="6" customFormat="1" x14ac:dyDescent="0.25">
      <c r="A20" s="4" t="s">
        <v>82</v>
      </c>
      <c r="B20"/>
      <c r="C20"/>
      <c r="D20"/>
      <c r="E20"/>
      <c r="F20"/>
      <c r="G20"/>
      <c r="H20"/>
      <c r="I20"/>
      <c r="J20"/>
      <c r="K20"/>
    </row>
    <row r="21" spans="1:11" s="6" customFormat="1" x14ac:dyDescent="0.25">
      <c r="A21" s="4" t="s">
        <v>83</v>
      </c>
      <c r="B21">
        <v>2715</v>
      </c>
      <c r="C21">
        <v>2614</v>
      </c>
      <c r="D21">
        <v>2230</v>
      </c>
      <c r="E21">
        <v>1887</v>
      </c>
      <c r="F21">
        <v>1448</v>
      </c>
      <c r="G21">
        <v>1134</v>
      </c>
      <c r="H21">
        <v>1844</v>
      </c>
      <c r="I21">
        <v>3660</v>
      </c>
      <c r="J21">
        <v>11599</v>
      </c>
      <c r="K21"/>
    </row>
    <row r="22" spans="1:11" s="6" customFormat="1" x14ac:dyDescent="0.25">
      <c r="A22" s="4" t="s">
        <v>84</v>
      </c>
      <c r="B22">
        <v>61621</v>
      </c>
      <c r="C22">
        <v>66396</v>
      </c>
      <c r="D22">
        <v>78246</v>
      </c>
      <c r="E22">
        <v>85952</v>
      </c>
      <c r="F22">
        <v>91814</v>
      </c>
      <c r="G22">
        <v>107554</v>
      </c>
      <c r="H22">
        <v>127522</v>
      </c>
      <c r="I22">
        <v>140131</v>
      </c>
      <c r="J22">
        <v>145788</v>
      </c>
      <c r="K22">
        <v>154994</v>
      </c>
    </row>
    <row r="23" spans="1:11" s="6" customFormat="1" x14ac:dyDescent="0.25">
      <c r="A23" s="4" t="s">
        <v>85</v>
      </c>
      <c r="B23">
        <v>16392</v>
      </c>
      <c r="C23">
        <v>16808</v>
      </c>
      <c r="D23">
        <v>20387</v>
      </c>
      <c r="E23">
        <v>20527</v>
      </c>
      <c r="F23">
        <v>18322</v>
      </c>
      <c r="G23">
        <v>23187</v>
      </c>
      <c r="H23">
        <v>28913</v>
      </c>
      <c r="I23">
        <v>24151</v>
      </c>
      <c r="J23">
        <v>20729</v>
      </c>
      <c r="K23"/>
    </row>
    <row r="24" spans="1:11" s="6" customFormat="1" x14ac:dyDescent="0.25">
      <c r="A24" s="4" t="s">
        <v>86</v>
      </c>
      <c r="B24">
        <v>4834</v>
      </c>
      <c r="C24">
        <v>4684</v>
      </c>
      <c r="D24">
        <v>6054</v>
      </c>
      <c r="E24">
        <v>6456</v>
      </c>
      <c r="F24">
        <v>6033</v>
      </c>
      <c r="G24">
        <v>6793</v>
      </c>
      <c r="H24">
        <v>7883</v>
      </c>
      <c r="I24">
        <v>8613</v>
      </c>
      <c r="J24">
        <v>9752</v>
      </c>
      <c r="K24">
        <v>39629</v>
      </c>
    </row>
    <row r="25" spans="1:11" s="6" customFormat="1" x14ac:dyDescent="0.25">
      <c r="A25" s="6" t="s">
        <v>9</v>
      </c>
      <c r="B25">
        <v>4221</v>
      </c>
      <c r="C25">
        <v>3642</v>
      </c>
      <c r="D25">
        <v>4311</v>
      </c>
      <c r="E25">
        <v>4592</v>
      </c>
      <c r="F25">
        <v>1916</v>
      </c>
      <c r="G25">
        <v>4018</v>
      </c>
      <c r="H25">
        <v>3449</v>
      </c>
      <c r="I25">
        <v>3464</v>
      </c>
      <c r="J25">
        <v>3962</v>
      </c>
      <c r="K25">
        <v>-124</v>
      </c>
    </row>
    <row r="26" spans="1:11" s="6" customFormat="1" x14ac:dyDescent="0.25">
      <c r="A26" s="6" t="s">
        <v>10</v>
      </c>
      <c r="B26">
        <v>1987</v>
      </c>
      <c r="C26">
        <v>2014</v>
      </c>
      <c r="D26">
        <v>2056</v>
      </c>
      <c r="E26">
        <v>3529</v>
      </c>
      <c r="F26">
        <v>4065</v>
      </c>
      <c r="G26">
        <v>4604</v>
      </c>
      <c r="H26">
        <v>5022</v>
      </c>
      <c r="I26">
        <v>4985</v>
      </c>
      <c r="J26">
        <v>5242</v>
      </c>
      <c r="K26">
        <v>5560</v>
      </c>
    </row>
    <row r="27" spans="1:11" s="6" customFormat="1" x14ac:dyDescent="0.25">
      <c r="A27" s="6" t="s">
        <v>11</v>
      </c>
      <c r="B27">
        <v>32</v>
      </c>
      <c r="C27">
        <v>52</v>
      </c>
      <c r="D27">
        <v>198</v>
      </c>
      <c r="E27">
        <v>924</v>
      </c>
      <c r="F27">
        <v>637</v>
      </c>
      <c r="G27">
        <v>784</v>
      </c>
      <c r="H27">
        <v>779</v>
      </c>
      <c r="I27">
        <v>778</v>
      </c>
      <c r="J27">
        <v>796</v>
      </c>
      <c r="K27">
        <v>1227</v>
      </c>
    </row>
    <row r="28" spans="1:11" s="6" customFormat="1" x14ac:dyDescent="0.25">
      <c r="A28" s="6" t="s">
        <v>12</v>
      </c>
      <c r="B28">
        <v>34513</v>
      </c>
      <c r="C28">
        <v>34092</v>
      </c>
      <c r="D28">
        <v>41563</v>
      </c>
      <c r="E28">
        <v>42248</v>
      </c>
      <c r="F28">
        <v>43760</v>
      </c>
      <c r="G28">
        <v>51687</v>
      </c>
      <c r="H28">
        <v>56907</v>
      </c>
      <c r="I28">
        <v>61997</v>
      </c>
      <c r="J28">
        <v>65331</v>
      </c>
      <c r="K28">
        <v>65487</v>
      </c>
    </row>
    <row r="29" spans="1:11" s="6" customFormat="1" x14ac:dyDescent="0.25">
      <c r="A29" s="6" t="s">
        <v>13</v>
      </c>
      <c r="B29">
        <v>8156</v>
      </c>
      <c r="C29">
        <v>8212</v>
      </c>
      <c r="D29">
        <v>10001</v>
      </c>
      <c r="E29">
        <v>9801</v>
      </c>
      <c r="F29">
        <v>11198</v>
      </c>
      <c r="G29">
        <v>13238</v>
      </c>
      <c r="H29">
        <v>14604</v>
      </c>
      <c r="I29">
        <v>15898</v>
      </c>
      <c r="J29">
        <v>16534</v>
      </c>
      <c r="K29">
        <v>16033</v>
      </c>
    </row>
    <row r="30" spans="1:11" s="6" customFormat="1" x14ac:dyDescent="0.25">
      <c r="A30" s="6" t="s">
        <v>14</v>
      </c>
      <c r="B30">
        <v>26289</v>
      </c>
      <c r="C30">
        <v>25826</v>
      </c>
      <c r="D30">
        <v>31472</v>
      </c>
      <c r="E30">
        <v>32340</v>
      </c>
      <c r="F30">
        <v>32430</v>
      </c>
      <c r="G30">
        <v>38327</v>
      </c>
      <c r="H30">
        <v>42147</v>
      </c>
      <c r="I30">
        <v>45908</v>
      </c>
      <c r="J30">
        <v>48553</v>
      </c>
      <c r="K30">
        <v>49210</v>
      </c>
    </row>
    <row r="31" spans="1:11" s="6" customFormat="1" x14ac:dyDescent="0.25">
      <c r="A31" s="6" t="s">
        <v>70</v>
      </c>
      <c r="B31">
        <v>9259</v>
      </c>
      <c r="C31">
        <v>9550</v>
      </c>
      <c r="D31">
        <v>11250</v>
      </c>
      <c r="E31">
        <v>27375</v>
      </c>
      <c r="F31">
        <v>14060</v>
      </c>
      <c r="G31">
        <v>15738</v>
      </c>
      <c r="H31">
        <v>42090</v>
      </c>
      <c r="I31">
        <v>26426</v>
      </c>
      <c r="J31">
        <v>45612</v>
      </c>
      <c r="K31">
        <v>39820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25">
      <c r="A42" s="6" t="s">
        <v>6</v>
      </c>
      <c r="B42">
        <v>60583</v>
      </c>
      <c r="C42">
        <v>61237</v>
      </c>
      <c r="D42">
        <v>62613</v>
      </c>
      <c r="E42">
        <v>64259</v>
      </c>
      <c r="F42">
        <v>63973</v>
      </c>
      <c r="G42">
        <v>64479</v>
      </c>
      <c r="H42">
        <v>63437</v>
      </c>
      <c r="I42">
        <v>65799</v>
      </c>
      <c r="J42">
        <v>67087</v>
      </c>
      <c r="K42">
        <v>70698</v>
      </c>
    </row>
    <row r="43" spans="1:11" s="6" customFormat="1" x14ac:dyDescent="0.25">
      <c r="A43" s="6" t="s">
        <v>7</v>
      </c>
      <c r="B43">
        <v>44195</v>
      </c>
      <c r="C43">
        <v>44073</v>
      </c>
      <c r="D43">
        <v>45951</v>
      </c>
      <c r="E43">
        <v>47528</v>
      </c>
      <c r="F43">
        <v>46939</v>
      </c>
      <c r="G43">
        <v>47499</v>
      </c>
      <c r="H43">
        <v>46562</v>
      </c>
      <c r="I43">
        <v>47821</v>
      </c>
      <c r="J43">
        <v>48818</v>
      </c>
      <c r="K43">
        <v>51422</v>
      </c>
    </row>
    <row r="44" spans="1:11" s="6" customFormat="1" x14ac:dyDescent="0.25">
      <c r="A44" s="6" t="s">
        <v>9</v>
      </c>
      <c r="B44">
        <v>-96</v>
      </c>
      <c r="C44">
        <v>1157</v>
      </c>
      <c r="D44">
        <v>962</v>
      </c>
      <c r="E44">
        <v>729</v>
      </c>
      <c r="F44">
        <v>1243</v>
      </c>
      <c r="G44">
        <v>1028</v>
      </c>
      <c r="H44">
        <v>1660</v>
      </c>
      <c r="I44">
        <v>-268</v>
      </c>
      <c r="J44">
        <v>-2273</v>
      </c>
      <c r="K44">
        <v>757</v>
      </c>
    </row>
    <row r="45" spans="1:11" s="6" customFormat="1" x14ac:dyDescent="0.25">
      <c r="A45" s="6" t="s">
        <v>10</v>
      </c>
      <c r="B45">
        <v>1233</v>
      </c>
      <c r="C45">
        <v>1246</v>
      </c>
      <c r="D45">
        <v>1220</v>
      </c>
      <c r="E45">
        <v>1266</v>
      </c>
      <c r="F45">
        <v>1377</v>
      </c>
      <c r="G45">
        <v>1379</v>
      </c>
      <c r="H45">
        <v>1361</v>
      </c>
      <c r="I45">
        <v>1413</v>
      </c>
      <c r="J45">
        <v>1380</v>
      </c>
      <c r="K45">
        <v>1406</v>
      </c>
    </row>
    <row r="46" spans="1:11" s="6" customFormat="1" x14ac:dyDescent="0.25">
      <c r="A46" s="6" t="s">
        <v>11</v>
      </c>
      <c r="B46">
        <v>230</v>
      </c>
      <c r="C46">
        <v>226</v>
      </c>
      <c r="D46">
        <v>173</v>
      </c>
      <c r="E46">
        <v>162</v>
      </c>
      <c r="F46">
        <v>234</v>
      </c>
      <c r="G46">
        <v>227</v>
      </c>
      <c r="H46">
        <v>195</v>
      </c>
      <c r="I46">
        <v>229</v>
      </c>
      <c r="J46">
        <v>538</v>
      </c>
      <c r="K46">
        <v>265</v>
      </c>
    </row>
    <row r="47" spans="1:11" s="6" customFormat="1" x14ac:dyDescent="0.25">
      <c r="A47" s="6" t="s">
        <v>12</v>
      </c>
      <c r="B47">
        <v>14829</v>
      </c>
      <c r="C47">
        <v>16849</v>
      </c>
      <c r="D47">
        <v>16231</v>
      </c>
      <c r="E47">
        <v>16032</v>
      </c>
      <c r="F47">
        <v>16666</v>
      </c>
      <c r="G47">
        <v>16402</v>
      </c>
      <c r="H47">
        <v>16979</v>
      </c>
      <c r="I47">
        <v>16068</v>
      </c>
      <c r="J47">
        <v>14078</v>
      </c>
      <c r="K47">
        <v>18362</v>
      </c>
    </row>
    <row r="48" spans="1:11" s="6" customFormat="1" x14ac:dyDescent="0.25">
      <c r="A48" s="6" t="s">
        <v>13</v>
      </c>
      <c r="B48">
        <v>3732</v>
      </c>
      <c r="C48">
        <v>4347</v>
      </c>
      <c r="D48">
        <v>4126</v>
      </c>
      <c r="E48">
        <v>4077</v>
      </c>
      <c r="F48">
        <v>4222</v>
      </c>
      <c r="G48">
        <v>4109</v>
      </c>
      <c r="H48">
        <v>4160</v>
      </c>
      <c r="I48">
        <v>3937</v>
      </c>
      <c r="J48">
        <v>3358</v>
      </c>
      <c r="K48">
        <v>4578</v>
      </c>
    </row>
    <row r="49" spans="1:11" s="6" customFormat="1" x14ac:dyDescent="0.25">
      <c r="A49" s="6" t="s">
        <v>14</v>
      </c>
      <c r="B49">
        <v>11058</v>
      </c>
      <c r="C49">
        <v>12434</v>
      </c>
      <c r="D49">
        <v>12040</v>
      </c>
      <c r="E49">
        <v>11909</v>
      </c>
      <c r="F49">
        <v>12380</v>
      </c>
      <c r="G49">
        <v>12224</v>
      </c>
      <c r="H49">
        <v>12760</v>
      </c>
      <c r="I49">
        <v>12075</v>
      </c>
      <c r="J49">
        <v>10657</v>
      </c>
      <c r="K49">
        <v>13718</v>
      </c>
    </row>
    <row r="50" spans="1:11" x14ac:dyDescent="0.25">
      <c r="A50" s="6" t="s">
        <v>8</v>
      </c>
      <c r="B50">
        <v>16388</v>
      </c>
      <c r="C50">
        <v>17164</v>
      </c>
      <c r="D50">
        <v>16662</v>
      </c>
      <c r="E50">
        <v>16731</v>
      </c>
      <c r="F50">
        <v>17034</v>
      </c>
      <c r="G50">
        <v>16980</v>
      </c>
      <c r="H50">
        <v>16875</v>
      </c>
      <c r="I50">
        <v>17978</v>
      </c>
      <c r="J50">
        <v>18269</v>
      </c>
      <c r="K50">
        <v>19276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197</v>
      </c>
      <c r="C57">
        <v>191</v>
      </c>
      <c r="D57">
        <v>375</v>
      </c>
      <c r="E57">
        <v>375</v>
      </c>
      <c r="F57">
        <v>370</v>
      </c>
      <c r="G57">
        <v>366</v>
      </c>
      <c r="H57">
        <v>366</v>
      </c>
      <c r="I57">
        <v>362</v>
      </c>
      <c r="J57">
        <v>362</v>
      </c>
      <c r="K57">
        <v>362</v>
      </c>
    </row>
    <row r="58" spans="1:11" x14ac:dyDescent="0.25">
      <c r="A58" s="6" t="s">
        <v>25</v>
      </c>
      <c r="B58">
        <v>86017</v>
      </c>
      <c r="C58">
        <v>84937</v>
      </c>
      <c r="D58">
        <v>89071</v>
      </c>
      <c r="E58">
        <v>83751</v>
      </c>
      <c r="F58">
        <v>86063</v>
      </c>
      <c r="G58">
        <v>88773</v>
      </c>
      <c r="H58">
        <v>90058</v>
      </c>
      <c r="I58">
        <v>90127</v>
      </c>
      <c r="J58">
        <v>94394</v>
      </c>
      <c r="K58">
        <v>106878</v>
      </c>
    </row>
    <row r="59" spans="1:11" x14ac:dyDescent="0.25">
      <c r="A59" s="6" t="s">
        <v>71</v>
      </c>
      <c r="B59">
        <v>289</v>
      </c>
      <c r="C59">
        <v>247</v>
      </c>
      <c r="D59">
        <v>62</v>
      </c>
      <c r="E59">
        <v>8174</v>
      </c>
      <c r="F59">
        <v>7795</v>
      </c>
      <c r="G59">
        <v>7818</v>
      </c>
      <c r="H59">
        <v>7688</v>
      </c>
      <c r="I59">
        <v>8021</v>
      </c>
      <c r="J59">
        <v>9392</v>
      </c>
      <c r="K59">
        <v>11283</v>
      </c>
    </row>
    <row r="60" spans="1:11" x14ac:dyDescent="0.25">
      <c r="A60" s="6" t="s">
        <v>72</v>
      </c>
      <c r="B60">
        <v>15830</v>
      </c>
      <c r="C60">
        <v>19751</v>
      </c>
      <c r="D60">
        <v>24393</v>
      </c>
      <c r="E60">
        <v>27827</v>
      </c>
      <c r="F60">
        <v>35764</v>
      </c>
      <c r="G60">
        <v>43967</v>
      </c>
      <c r="H60">
        <v>44747</v>
      </c>
      <c r="I60">
        <v>46962</v>
      </c>
      <c r="J60">
        <v>54501</v>
      </c>
      <c r="K60">
        <v>63849</v>
      </c>
    </row>
    <row r="61" spans="1:11" s="1" customFormat="1" x14ac:dyDescent="0.25">
      <c r="A61" s="1" t="s">
        <v>26</v>
      </c>
      <c r="B61">
        <v>102333</v>
      </c>
      <c r="C61">
        <v>105126</v>
      </c>
      <c r="D61">
        <v>113901</v>
      </c>
      <c r="E61">
        <v>120127</v>
      </c>
      <c r="F61">
        <v>129992</v>
      </c>
      <c r="G61">
        <v>140924</v>
      </c>
      <c r="H61">
        <v>142859</v>
      </c>
      <c r="I61">
        <v>145472</v>
      </c>
      <c r="J61">
        <v>158649</v>
      </c>
      <c r="K61">
        <v>182372</v>
      </c>
    </row>
    <row r="62" spans="1:11" x14ac:dyDescent="0.25">
      <c r="A62" s="6" t="s">
        <v>27</v>
      </c>
      <c r="B62">
        <v>11701</v>
      </c>
      <c r="C62">
        <v>11973</v>
      </c>
      <c r="D62">
        <v>12290</v>
      </c>
      <c r="E62">
        <v>20928</v>
      </c>
      <c r="F62">
        <v>21021</v>
      </c>
      <c r="G62">
        <v>21298</v>
      </c>
      <c r="H62">
        <v>20515</v>
      </c>
      <c r="I62">
        <v>19604</v>
      </c>
      <c r="J62">
        <v>23053</v>
      </c>
      <c r="K62">
        <v>31343</v>
      </c>
    </row>
    <row r="63" spans="1:11" x14ac:dyDescent="0.25">
      <c r="A63" s="6" t="s">
        <v>28</v>
      </c>
      <c r="B63">
        <v>1541</v>
      </c>
      <c r="C63">
        <v>1278</v>
      </c>
      <c r="D63">
        <v>963</v>
      </c>
      <c r="E63">
        <v>906</v>
      </c>
      <c r="F63">
        <v>926</v>
      </c>
      <c r="G63">
        <v>1205</v>
      </c>
      <c r="H63">
        <v>1234</v>
      </c>
      <c r="I63">
        <v>1564</v>
      </c>
      <c r="J63">
        <v>1546</v>
      </c>
      <c r="K63">
        <v>2665</v>
      </c>
    </row>
    <row r="64" spans="1:11" x14ac:dyDescent="0.25">
      <c r="A64" s="6" t="s">
        <v>29</v>
      </c>
      <c r="B64">
        <v>41980</v>
      </c>
      <c r="C64">
        <v>36008</v>
      </c>
      <c r="D64">
        <v>29330</v>
      </c>
      <c r="E64">
        <v>26356</v>
      </c>
      <c r="F64">
        <v>29373</v>
      </c>
      <c r="G64">
        <v>30485</v>
      </c>
      <c r="H64">
        <v>37163</v>
      </c>
      <c r="I64">
        <v>31762</v>
      </c>
      <c r="J64">
        <v>30964</v>
      </c>
      <c r="K64">
        <v>33988</v>
      </c>
    </row>
    <row r="65" spans="1:11" x14ac:dyDescent="0.25">
      <c r="A65" s="6" t="s">
        <v>73</v>
      </c>
      <c r="B65">
        <v>47111</v>
      </c>
      <c r="C65">
        <v>55867</v>
      </c>
      <c r="D65">
        <v>71318</v>
      </c>
      <c r="E65">
        <v>71937</v>
      </c>
      <c r="F65">
        <v>78672</v>
      </c>
      <c r="G65">
        <v>87936</v>
      </c>
      <c r="H65">
        <v>83947</v>
      </c>
      <c r="I65">
        <v>92542</v>
      </c>
      <c r="J65">
        <v>103086</v>
      </c>
      <c r="K65">
        <v>114376</v>
      </c>
    </row>
    <row r="66" spans="1:11" s="1" customFormat="1" x14ac:dyDescent="0.25">
      <c r="A66" s="1" t="s">
        <v>26</v>
      </c>
      <c r="B66">
        <v>102333</v>
      </c>
      <c r="C66">
        <v>105126</v>
      </c>
      <c r="D66">
        <v>113901</v>
      </c>
      <c r="E66">
        <v>120127</v>
      </c>
      <c r="F66">
        <v>129992</v>
      </c>
      <c r="G66">
        <v>140924</v>
      </c>
      <c r="H66">
        <v>142859</v>
      </c>
      <c r="I66">
        <v>145472</v>
      </c>
      <c r="J66">
        <v>158649</v>
      </c>
      <c r="K66">
        <v>182372</v>
      </c>
    </row>
    <row r="67" spans="1:11" s="6" customFormat="1" x14ac:dyDescent="0.25">
      <c r="A67" s="6" t="s">
        <v>78</v>
      </c>
      <c r="B67">
        <v>22617</v>
      </c>
      <c r="C67">
        <v>24943</v>
      </c>
      <c r="D67">
        <v>27346</v>
      </c>
      <c r="E67">
        <v>30532</v>
      </c>
      <c r="F67">
        <v>30079</v>
      </c>
      <c r="G67">
        <v>41810</v>
      </c>
      <c r="H67">
        <v>49954</v>
      </c>
      <c r="I67">
        <v>53577</v>
      </c>
      <c r="J67">
        <v>59046</v>
      </c>
      <c r="K67">
        <v>57630</v>
      </c>
    </row>
    <row r="68" spans="1:11" x14ac:dyDescent="0.25">
      <c r="A68" s="6" t="s">
        <v>45</v>
      </c>
      <c r="B68">
        <v>21</v>
      </c>
      <c r="C68">
        <v>26</v>
      </c>
      <c r="D68">
        <v>10</v>
      </c>
      <c r="E68">
        <v>5</v>
      </c>
      <c r="F68">
        <v>8</v>
      </c>
      <c r="G68">
        <v>20</v>
      </c>
      <c r="H68">
        <v>28</v>
      </c>
      <c r="I68">
        <v>28</v>
      </c>
      <c r="J68">
        <v>21</v>
      </c>
      <c r="K68">
        <v>29</v>
      </c>
    </row>
    <row r="69" spans="1:11" x14ac:dyDescent="0.25">
      <c r="A69" s="4" t="s">
        <v>87</v>
      </c>
      <c r="B69">
        <v>4149</v>
      </c>
      <c r="C69">
        <v>7161</v>
      </c>
      <c r="D69">
        <v>12848</v>
      </c>
      <c r="E69">
        <v>9666</v>
      </c>
      <c r="F69">
        <v>9329</v>
      </c>
      <c r="G69">
        <v>18221</v>
      </c>
      <c r="H69">
        <v>11032</v>
      </c>
      <c r="I69">
        <v>13286</v>
      </c>
      <c r="J69">
        <v>15463</v>
      </c>
      <c r="K69">
        <v>12908</v>
      </c>
    </row>
    <row r="70" spans="1:11" x14ac:dyDescent="0.25">
      <c r="A70" s="4" t="s">
        <v>74</v>
      </c>
      <c r="B70">
        <v>1970427941</v>
      </c>
      <c r="C70">
        <v>1914287591</v>
      </c>
      <c r="D70">
        <v>3752384706</v>
      </c>
      <c r="E70">
        <v>3752384706</v>
      </c>
      <c r="F70">
        <v>3699051373</v>
      </c>
      <c r="G70">
        <v>3659051373</v>
      </c>
      <c r="H70">
        <v>3659051373</v>
      </c>
      <c r="I70">
        <v>3618087518</v>
      </c>
      <c r="J70">
        <v>3618087518</v>
      </c>
      <c r="K70"/>
    </row>
    <row r="71" spans="1:11" x14ac:dyDescent="0.25">
      <c r="A71" s="4" t="s">
        <v>75</v>
      </c>
    </row>
    <row r="72" spans="1:11" x14ac:dyDescent="0.2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25223</v>
      </c>
      <c r="C82">
        <v>25067</v>
      </c>
      <c r="D82">
        <v>28593</v>
      </c>
      <c r="E82">
        <v>32369</v>
      </c>
      <c r="F82">
        <v>38802</v>
      </c>
      <c r="G82">
        <v>39949</v>
      </c>
      <c r="H82">
        <v>41965</v>
      </c>
      <c r="I82">
        <v>44338</v>
      </c>
      <c r="J82">
        <v>48908</v>
      </c>
      <c r="K82">
        <v>52094</v>
      </c>
    </row>
    <row r="83" spans="1:11" s="6" customFormat="1" x14ac:dyDescent="0.25">
      <c r="A83" s="6" t="s">
        <v>33</v>
      </c>
      <c r="B83">
        <v>-16895</v>
      </c>
      <c r="C83">
        <v>3104</v>
      </c>
      <c r="D83">
        <v>1645</v>
      </c>
      <c r="E83">
        <v>8968</v>
      </c>
      <c r="F83">
        <v>-7956</v>
      </c>
      <c r="G83">
        <v>-738</v>
      </c>
      <c r="H83">
        <v>548</v>
      </c>
      <c r="I83">
        <v>6091</v>
      </c>
      <c r="J83">
        <v>-2144</v>
      </c>
      <c r="K83">
        <v>-12845</v>
      </c>
    </row>
    <row r="84" spans="1:11" s="6" customFormat="1" x14ac:dyDescent="0.25">
      <c r="A84" s="6" t="s">
        <v>34</v>
      </c>
      <c r="B84">
        <v>-11026</v>
      </c>
      <c r="C84">
        <v>-26885</v>
      </c>
      <c r="D84">
        <v>-27897</v>
      </c>
      <c r="E84">
        <v>-39915</v>
      </c>
      <c r="F84">
        <v>-32634</v>
      </c>
      <c r="G84">
        <v>-33581</v>
      </c>
      <c r="H84">
        <v>-47878</v>
      </c>
      <c r="I84">
        <v>-48536</v>
      </c>
      <c r="J84">
        <v>-47438</v>
      </c>
      <c r="K84">
        <v>-42133</v>
      </c>
    </row>
    <row r="85" spans="1:11" s="1" customFormat="1" x14ac:dyDescent="0.25">
      <c r="A85" s="6" t="s">
        <v>35</v>
      </c>
      <c r="B85">
        <v>-2698</v>
      </c>
      <c r="C85">
        <v>1286</v>
      </c>
      <c r="D85">
        <v>2341</v>
      </c>
      <c r="E85">
        <v>1422</v>
      </c>
      <c r="F85">
        <v>-1788</v>
      </c>
      <c r="G85">
        <v>5630</v>
      </c>
      <c r="H85">
        <v>-5365</v>
      </c>
      <c r="I85">
        <v>1893</v>
      </c>
      <c r="J85">
        <v>-674</v>
      </c>
      <c r="K85">
        <v>-2884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1215.9000000000001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394.09</v>
      </c>
      <c r="C93" s="24">
        <v>382.86</v>
      </c>
      <c r="D93" s="24">
        <v>375.24</v>
      </c>
      <c r="E93" s="24">
        <v>375.24</v>
      </c>
      <c r="F93" s="24">
        <v>369.91</v>
      </c>
      <c r="G93" s="24">
        <v>365.91</v>
      </c>
      <c r="H93" s="24">
        <v>365.91</v>
      </c>
      <c r="I93" s="24">
        <v>361.81</v>
      </c>
      <c r="J93" s="24">
        <v>361.81</v>
      </c>
      <c r="K93" s="24">
        <v>361.81</v>
      </c>
    </row>
  </sheetData>
  <sheetProtection algorithmName="SHA-512" hashValue="p/7zdAShTpEiqu6naiYnke+HPK5xrgNJ/+0o5Bs2mlzocu+Inxw/BnVV+r0TKLAn3YK4VPfg20RXUGVLU+tSzQ==" saltValue="JuzSCt8X2S+m4o2yZ5CKyQ==" spinCount="100000" sheet="1" objects="1" scenarios="1"/>
  <mergeCells count="2">
    <mergeCell ref="E1:K1"/>
    <mergeCell ref="E2:K2"/>
  </mergeCells>
  <conditionalFormatting sqref="E1:K1">
    <cfRule type="cellIs" dxfId="1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FF39-802A-4844-A40F-F7FF1FD1CE6D}">
  <sheetPr>
    <tabColor rgb="FFC00000"/>
  </sheetPr>
  <dimension ref="B3:I6"/>
  <sheetViews>
    <sheetView workbookViewId="0">
      <selection activeCell="C24" sqref="C24"/>
    </sheetView>
  </sheetViews>
  <sheetFormatPr defaultRowHeight="15" x14ac:dyDescent="0.25"/>
  <cols>
    <col min="2" max="4" width="12.42578125" customWidth="1"/>
    <col min="5" max="5" width="14.140625" bestFit="1" customWidth="1"/>
    <col min="6" max="9" width="12.42578125" customWidth="1"/>
  </cols>
  <sheetData>
    <row r="3" spans="2:9" x14ac:dyDescent="0.25">
      <c r="B3" s="57" t="s">
        <v>188</v>
      </c>
      <c r="C3" s="57" t="s">
        <v>189</v>
      </c>
      <c r="D3" s="57" t="s">
        <v>192</v>
      </c>
      <c r="E3" s="57" t="s">
        <v>193</v>
      </c>
      <c r="F3" s="57" t="s">
        <v>194</v>
      </c>
      <c r="G3" s="57" t="s">
        <v>190</v>
      </c>
      <c r="H3" s="57" t="s">
        <v>195</v>
      </c>
      <c r="I3" s="57" t="s">
        <v>197</v>
      </c>
    </row>
    <row r="4" spans="2:9" x14ac:dyDescent="0.25">
      <c r="B4" s="57">
        <v>1</v>
      </c>
      <c r="C4" s="57" t="s">
        <v>191</v>
      </c>
      <c r="D4" s="57">
        <v>2554.9</v>
      </c>
      <c r="E4" s="57">
        <v>924366.49</v>
      </c>
      <c r="F4" s="57">
        <v>11283</v>
      </c>
      <c r="G4" s="57">
        <v>0.11</v>
      </c>
      <c r="H4" s="57">
        <v>362</v>
      </c>
      <c r="I4" s="57">
        <v>796</v>
      </c>
    </row>
    <row r="5" spans="2:9" x14ac:dyDescent="0.25">
      <c r="B5" s="57">
        <v>2</v>
      </c>
      <c r="C5" s="57" t="s">
        <v>187</v>
      </c>
      <c r="D5" s="57">
        <v>1305.3</v>
      </c>
      <c r="E5" s="57">
        <v>529152.57999999996</v>
      </c>
      <c r="F5" s="57">
        <v>8796</v>
      </c>
      <c r="G5" s="57">
        <v>0.11</v>
      </c>
      <c r="H5" s="57">
        <v>2024</v>
      </c>
      <c r="I5" s="57">
        <v>416</v>
      </c>
    </row>
    <row r="6" spans="2:9" x14ac:dyDescent="0.25">
      <c r="B6" s="57">
        <v>3</v>
      </c>
      <c r="C6" s="57" t="s">
        <v>196</v>
      </c>
      <c r="D6" s="57">
        <v>3430.7</v>
      </c>
      <c r="E6" s="57">
        <v>36333.93</v>
      </c>
      <c r="F6" s="57">
        <v>630</v>
      </c>
      <c r="G6" s="57">
        <v>0.1</v>
      </c>
      <c r="H6" s="57">
        <v>21.2</v>
      </c>
      <c r="I6" s="57">
        <v>56</v>
      </c>
    </row>
  </sheetData>
  <sheetProtection algorithmName="SHA-512" hashValue="2LkFoXybRyQIZux3naRqBcD5o6SyiP5+Eu1lMCTvAW1uU89Qs9WfPlcR++RVOh7uM/CCZvu2AY8V5bDn6A4RqQ==" saltValue="s2SN+54us+Da5OBQt8co5g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ACCA-ED0B-4B33-9795-B044437AEC28}">
  <dimension ref="A1:Q45"/>
  <sheetViews>
    <sheetView showGridLines="0" topLeftCell="A16" workbookViewId="0">
      <selection activeCell="G48" sqref="G48"/>
    </sheetView>
  </sheetViews>
  <sheetFormatPr defaultRowHeight="15" x14ac:dyDescent="0.25"/>
  <cols>
    <col min="1" max="1" width="1.85546875" customWidth="1"/>
    <col min="2" max="2" width="27.140625" bestFit="1" customWidth="1"/>
    <col min="3" max="11" width="13.28515625" customWidth="1"/>
  </cols>
  <sheetData>
    <row r="1" spans="1:17" x14ac:dyDescent="0.25">
      <c r="B1" s="163" t="s">
        <v>100</v>
      </c>
      <c r="C1" s="163"/>
      <c r="D1" s="163"/>
      <c r="E1" s="163"/>
      <c r="F1" s="163"/>
      <c r="G1" s="163"/>
      <c r="H1" s="163"/>
      <c r="I1" s="163"/>
      <c r="J1" s="163"/>
      <c r="K1" s="163"/>
    </row>
    <row r="2" spans="1:17" x14ac:dyDescent="0.25">
      <c r="B2" s="163"/>
      <c r="C2" s="163"/>
      <c r="D2" s="163"/>
      <c r="E2" s="163"/>
      <c r="F2" s="163"/>
      <c r="G2" s="163"/>
      <c r="H2" s="163"/>
      <c r="I2" s="163"/>
      <c r="J2" s="163"/>
      <c r="K2" s="163"/>
    </row>
    <row r="3" spans="1:17" s="25" customForma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7" x14ac:dyDescent="0.25">
      <c r="B4" s="54" t="s">
        <v>101</v>
      </c>
      <c r="C4" s="55">
        <f>'Data Sheet'!B16</f>
        <v>42825</v>
      </c>
      <c r="D4" s="55">
        <f>'Data Sheet'!C16</f>
        <v>43190</v>
      </c>
      <c r="E4" s="55">
        <f>'Data Sheet'!D16</f>
        <v>43555</v>
      </c>
      <c r="F4" s="55">
        <f>'Data Sheet'!E16</f>
        <v>43921</v>
      </c>
      <c r="G4" s="55">
        <f>'Data Sheet'!F16</f>
        <v>44286</v>
      </c>
      <c r="H4" s="55">
        <f>'Data Sheet'!G16</f>
        <v>44651</v>
      </c>
      <c r="I4" s="55">
        <f>'Data Sheet'!H16</f>
        <v>45016</v>
      </c>
      <c r="J4" s="55">
        <f>'Data Sheet'!I16</f>
        <v>45382</v>
      </c>
      <c r="K4" s="55">
        <f>'Data Sheet'!J16</f>
        <v>45747</v>
      </c>
    </row>
    <row r="5" spans="1:17" s="25" customFormat="1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</row>
    <row r="6" spans="1:17" s="25" customFormat="1" x14ac:dyDescent="0.25">
      <c r="A6" s="25" t="s">
        <v>93</v>
      </c>
      <c r="B6" s="164" t="s">
        <v>94</v>
      </c>
      <c r="C6" s="164"/>
      <c r="D6" s="164"/>
      <c r="E6" s="164"/>
      <c r="F6" s="164"/>
      <c r="G6" s="164"/>
      <c r="H6" s="164"/>
      <c r="I6" s="164"/>
      <c r="J6" s="164"/>
      <c r="K6" s="164"/>
    </row>
    <row r="7" spans="1:17" x14ac:dyDescent="0.25">
      <c r="B7" s="32" t="str">
        <f>'Data Sheet'!A17</f>
        <v>Sales</v>
      </c>
      <c r="C7" s="33">
        <f>'Data Sheet'!B17</f>
        <v>117966</v>
      </c>
      <c r="D7" s="33">
        <f>'Data Sheet'!C17</f>
        <v>123104</v>
      </c>
      <c r="E7" s="33">
        <f>'Data Sheet'!D17</f>
        <v>146463</v>
      </c>
      <c r="F7" s="33">
        <f>'Data Sheet'!E17</f>
        <v>156949</v>
      </c>
      <c r="G7" s="33">
        <f>'Data Sheet'!F17</f>
        <v>164177</v>
      </c>
      <c r="H7" s="33">
        <f>'Data Sheet'!G17</f>
        <v>191754</v>
      </c>
      <c r="I7" s="33">
        <f>'Data Sheet'!H17</f>
        <v>225458</v>
      </c>
      <c r="J7" s="33">
        <f>'Data Sheet'!I17</f>
        <v>240893</v>
      </c>
      <c r="K7" s="33">
        <f>'Data Sheet'!J17</f>
        <v>255324</v>
      </c>
    </row>
    <row r="8" spans="1:17" x14ac:dyDescent="0.25">
      <c r="B8" s="28" t="str">
        <f>'Data Sheet'!A18</f>
        <v>Raw Material Cost</v>
      </c>
      <c r="C8" s="31">
        <f>'Data Sheet'!B18</f>
        <v>94</v>
      </c>
      <c r="D8" s="31">
        <f>'Data Sheet'!C18</f>
        <v>86</v>
      </c>
      <c r="E8" s="31">
        <f>'Data Sheet'!D18</f>
        <v>40</v>
      </c>
      <c r="F8" s="31">
        <f>'Data Sheet'!E18</f>
        <v>18</v>
      </c>
      <c r="G8" s="31">
        <f>'Data Sheet'!F18</f>
        <v>14</v>
      </c>
      <c r="H8" s="31">
        <f>'Data Sheet'!G18</f>
        <v>29</v>
      </c>
      <c r="I8" s="31">
        <f>'Data Sheet'!H18</f>
        <v>37</v>
      </c>
      <c r="J8" s="31">
        <f>'Data Sheet'!I18</f>
        <v>42</v>
      </c>
      <c r="K8" s="31">
        <f>'Data Sheet'!J18</f>
        <v>49</v>
      </c>
    </row>
    <row r="9" spans="1:17" x14ac:dyDescent="0.25">
      <c r="B9" s="28" t="str">
        <f>'Data Sheet'!A21</f>
        <v>Other Mfr. Exp</v>
      </c>
      <c r="C9" s="31">
        <f>'Data Sheet'!B21</f>
        <v>2715</v>
      </c>
      <c r="D9" s="31">
        <f>'Data Sheet'!C21</f>
        <v>2614</v>
      </c>
      <c r="E9" s="31">
        <f>'Data Sheet'!D21</f>
        <v>2230</v>
      </c>
      <c r="F9" s="31">
        <f>'Data Sheet'!E21</f>
        <v>1887</v>
      </c>
      <c r="G9" s="31">
        <f>'Data Sheet'!F21</f>
        <v>1448</v>
      </c>
      <c r="H9" s="31">
        <f>'Data Sheet'!G21</f>
        <v>1134</v>
      </c>
      <c r="I9" s="31">
        <f>'Data Sheet'!H21</f>
        <v>1844</v>
      </c>
      <c r="J9" s="31">
        <f>'Data Sheet'!I21</f>
        <v>3660</v>
      </c>
      <c r="K9" s="31">
        <f>'Data Sheet'!J21</f>
        <v>11599</v>
      </c>
    </row>
    <row r="10" spans="1:17" x14ac:dyDescent="0.25">
      <c r="B10" s="28" t="str">
        <f>'Data Sheet'!A22</f>
        <v>Employee Cost</v>
      </c>
      <c r="C10" s="31">
        <f>'Data Sheet'!B22</f>
        <v>61621</v>
      </c>
      <c r="D10" s="31">
        <f>'Data Sheet'!C22</f>
        <v>66396</v>
      </c>
      <c r="E10" s="31">
        <f>'Data Sheet'!D22</f>
        <v>78246</v>
      </c>
      <c r="F10" s="31">
        <f>'Data Sheet'!E22</f>
        <v>85952</v>
      </c>
      <c r="G10" s="31">
        <f>'Data Sheet'!F22</f>
        <v>91814</v>
      </c>
      <c r="H10" s="31">
        <f>'Data Sheet'!G22</f>
        <v>107554</v>
      </c>
      <c r="I10" s="31">
        <f>'Data Sheet'!H22</f>
        <v>127522</v>
      </c>
      <c r="J10" s="31">
        <f>'Data Sheet'!I22</f>
        <v>140131</v>
      </c>
      <c r="K10" s="31">
        <f>'Data Sheet'!J22</f>
        <v>145788</v>
      </c>
      <c r="Q10" s="25"/>
    </row>
    <row r="11" spans="1:17" x14ac:dyDescent="0.25">
      <c r="B11" s="28" t="s">
        <v>95</v>
      </c>
      <c r="C11" s="31">
        <f>SUM(C8:C10)</f>
        <v>64430</v>
      </c>
      <c r="D11" s="31">
        <f t="shared" ref="D11:K11" si="0">SUM(D8:D10)</f>
        <v>69096</v>
      </c>
      <c r="E11" s="31">
        <f t="shared" si="0"/>
        <v>80516</v>
      </c>
      <c r="F11" s="31">
        <f t="shared" si="0"/>
        <v>87857</v>
      </c>
      <c r="G11" s="31">
        <f t="shared" si="0"/>
        <v>93276</v>
      </c>
      <c r="H11" s="31">
        <f t="shared" si="0"/>
        <v>108717</v>
      </c>
      <c r="I11" s="31">
        <f t="shared" si="0"/>
        <v>129403</v>
      </c>
      <c r="J11" s="31">
        <f t="shared" si="0"/>
        <v>143833</v>
      </c>
      <c r="K11" s="31">
        <f t="shared" si="0"/>
        <v>157436</v>
      </c>
    </row>
    <row r="12" spans="1:17" x14ac:dyDescent="0.25">
      <c r="B12" s="34" t="s">
        <v>96</v>
      </c>
      <c r="C12" s="35">
        <f>C7-C11</f>
        <v>53536</v>
      </c>
      <c r="D12" s="35">
        <f t="shared" ref="D12:K12" si="1">D7-D11</f>
        <v>54008</v>
      </c>
      <c r="E12" s="35">
        <f t="shared" si="1"/>
        <v>65947</v>
      </c>
      <c r="F12" s="35">
        <f t="shared" si="1"/>
        <v>69092</v>
      </c>
      <c r="G12" s="35">
        <f t="shared" si="1"/>
        <v>70901</v>
      </c>
      <c r="H12" s="35">
        <f t="shared" si="1"/>
        <v>83037</v>
      </c>
      <c r="I12" s="35">
        <f t="shared" si="1"/>
        <v>96055</v>
      </c>
      <c r="J12" s="35">
        <f t="shared" si="1"/>
        <v>97060</v>
      </c>
      <c r="K12" s="35">
        <f t="shared" si="1"/>
        <v>97888</v>
      </c>
    </row>
    <row r="13" spans="1:17" x14ac:dyDescent="0.25">
      <c r="B13" s="28" t="str">
        <f>'Data Sheet'!A23</f>
        <v>Selling and admin</v>
      </c>
      <c r="C13" s="31">
        <f>'Data Sheet'!B23</f>
        <v>16392</v>
      </c>
      <c r="D13" s="31">
        <f>'Data Sheet'!C23</f>
        <v>16808</v>
      </c>
      <c r="E13" s="31">
        <f>'Data Sheet'!D23</f>
        <v>20387</v>
      </c>
      <c r="F13" s="31">
        <f>'Data Sheet'!E23</f>
        <v>20527</v>
      </c>
      <c r="G13" s="31">
        <f>'Data Sheet'!F23</f>
        <v>18322</v>
      </c>
      <c r="H13" s="31">
        <f>'Data Sheet'!G23</f>
        <v>23187</v>
      </c>
      <c r="I13" s="31">
        <f>'Data Sheet'!H23</f>
        <v>28913</v>
      </c>
      <c r="J13" s="31">
        <f>'Data Sheet'!I23</f>
        <v>24151</v>
      </c>
      <c r="K13" s="31">
        <f>'Data Sheet'!J23</f>
        <v>20729</v>
      </c>
    </row>
    <row r="14" spans="1:17" x14ac:dyDescent="0.25">
      <c r="B14" s="28" t="str">
        <f>'Data Sheet'!A24</f>
        <v>Other Expenses</v>
      </c>
      <c r="C14" s="31">
        <f>'Data Sheet'!B24</f>
        <v>4834</v>
      </c>
      <c r="D14" s="31">
        <f>'Data Sheet'!C24</f>
        <v>4684</v>
      </c>
      <c r="E14" s="31">
        <f>'Data Sheet'!D24</f>
        <v>6054</v>
      </c>
      <c r="F14" s="31">
        <f>'Data Sheet'!E24</f>
        <v>6456</v>
      </c>
      <c r="G14" s="31">
        <f>'Data Sheet'!F24</f>
        <v>6033</v>
      </c>
      <c r="H14" s="31">
        <f>'Data Sheet'!G24</f>
        <v>6793</v>
      </c>
      <c r="I14" s="31">
        <f>'Data Sheet'!H24</f>
        <v>7883</v>
      </c>
      <c r="J14" s="31">
        <f>'Data Sheet'!I24</f>
        <v>8613</v>
      </c>
      <c r="K14" s="31">
        <f>'Data Sheet'!J24</f>
        <v>9752</v>
      </c>
    </row>
    <row r="15" spans="1:17" x14ac:dyDescent="0.25">
      <c r="B15" s="36" t="s">
        <v>98</v>
      </c>
      <c r="C15" s="37">
        <f>C12-SUM(C13:C14)</f>
        <v>32310</v>
      </c>
      <c r="D15" s="37">
        <f t="shared" ref="D15:K15" si="2">D12-SUM(D13:D14)</f>
        <v>32516</v>
      </c>
      <c r="E15" s="37">
        <f t="shared" si="2"/>
        <v>39506</v>
      </c>
      <c r="F15" s="37">
        <f t="shared" si="2"/>
        <v>42109</v>
      </c>
      <c r="G15" s="37">
        <f t="shared" si="2"/>
        <v>46546</v>
      </c>
      <c r="H15" s="37">
        <f t="shared" si="2"/>
        <v>53057</v>
      </c>
      <c r="I15" s="37">
        <f t="shared" si="2"/>
        <v>59259</v>
      </c>
      <c r="J15" s="37">
        <f t="shared" si="2"/>
        <v>64296</v>
      </c>
      <c r="K15" s="37">
        <f t="shared" si="2"/>
        <v>67407</v>
      </c>
    </row>
    <row r="16" spans="1:17" x14ac:dyDescent="0.25">
      <c r="B16" s="28" t="str">
        <f>'Data Sheet'!A26</f>
        <v>Depreciation</v>
      </c>
      <c r="C16" s="31">
        <f>'Data Sheet'!B26</f>
        <v>1987</v>
      </c>
      <c r="D16" s="31">
        <f>'Data Sheet'!C26</f>
        <v>2014</v>
      </c>
      <c r="E16" s="31">
        <f>'Data Sheet'!D26</f>
        <v>2056</v>
      </c>
      <c r="F16" s="31">
        <f>'Data Sheet'!E26</f>
        <v>3529</v>
      </c>
      <c r="G16" s="31">
        <f>'Data Sheet'!F26</f>
        <v>4065</v>
      </c>
      <c r="H16" s="31">
        <f>'Data Sheet'!G26</f>
        <v>4604</v>
      </c>
      <c r="I16" s="31">
        <f>'Data Sheet'!H26</f>
        <v>5022</v>
      </c>
      <c r="J16" s="31">
        <f>'Data Sheet'!I26</f>
        <v>4985</v>
      </c>
      <c r="K16" s="31">
        <f>'Data Sheet'!J26</f>
        <v>5242</v>
      </c>
    </row>
    <row r="17" spans="1:11" x14ac:dyDescent="0.25">
      <c r="B17" s="28" t="str">
        <f>'Data Sheet'!A27</f>
        <v>Interest</v>
      </c>
      <c r="C17" s="31">
        <f>'Data Sheet'!B27</f>
        <v>32</v>
      </c>
      <c r="D17" s="31">
        <f>'Data Sheet'!C27</f>
        <v>52</v>
      </c>
      <c r="E17" s="31">
        <f>'Data Sheet'!D27</f>
        <v>198</v>
      </c>
      <c r="F17" s="31">
        <f>'Data Sheet'!E27</f>
        <v>924</v>
      </c>
      <c r="G17" s="31">
        <f>'Data Sheet'!F27</f>
        <v>637</v>
      </c>
      <c r="H17" s="31">
        <f>'Data Sheet'!G27</f>
        <v>784</v>
      </c>
      <c r="I17" s="31">
        <f>'Data Sheet'!H27</f>
        <v>779</v>
      </c>
      <c r="J17" s="31">
        <f>'Data Sheet'!I27</f>
        <v>778</v>
      </c>
      <c r="K17" s="31">
        <f>'Data Sheet'!J27</f>
        <v>796</v>
      </c>
    </row>
    <row r="18" spans="1:11" x14ac:dyDescent="0.25">
      <c r="B18" s="34" t="str">
        <f>'Data Sheet'!A28</f>
        <v>Profit before tax</v>
      </c>
      <c r="C18" s="35">
        <f t="shared" ref="C18:K18" si="3">C15-SUM(C16:C17)</f>
        <v>30291</v>
      </c>
      <c r="D18" s="35">
        <f t="shared" si="3"/>
        <v>30450</v>
      </c>
      <c r="E18" s="35">
        <f t="shared" si="3"/>
        <v>37252</v>
      </c>
      <c r="F18" s="35">
        <f t="shared" si="3"/>
        <v>37656</v>
      </c>
      <c r="G18" s="35">
        <f t="shared" si="3"/>
        <v>41844</v>
      </c>
      <c r="H18" s="35">
        <f t="shared" si="3"/>
        <v>47669</v>
      </c>
      <c r="I18" s="35">
        <f t="shared" si="3"/>
        <v>53458</v>
      </c>
      <c r="J18" s="35">
        <f t="shared" si="3"/>
        <v>58533</v>
      </c>
      <c r="K18" s="35">
        <f t="shared" si="3"/>
        <v>61369</v>
      </c>
    </row>
    <row r="19" spans="1:11" x14ac:dyDescent="0.25">
      <c r="B19" s="28" t="str">
        <f>'Data Sheet'!A25</f>
        <v>Other Income</v>
      </c>
      <c r="C19" s="31">
        <f>'Data Sheet'!B25</f>
        <v>4221</v>
      </c>
      <c r="D19" s="31">
        <f>'Data Sheet'!C25</f>
        <v>3642</v>
      </c>
      <c r="E19" s="31">
        <f>'Data Sheet'!D25</f>
        <v>4311</v>
      </c>
      <c r="F19" s="31">
        <f>'Data Sheet'!E25</f>
        <v>4592</v>
      </c>
      <c r="G19" s="31">
        <f>'Data Sheet'!F25</f>
        <v>1916</v>
      </c>
      <c r="H19" s="31">
        <f>'Data Sheet'!G25</f>
        <v>4018</v>
      </c>
      <c r="I19" s="31">
        <f>'Data Sheet'!H25</f>
        <v>3449</v>
      </c>
      <c r="J19" s="31">
        <f>'Data Sheet'!I25</f>
        <v>3464</v>
      </c>
      <c r="K19" s="31">
        <f>'Data Sheet'!J25</f>
        <v>3962</v>
      </c>
    </row>
    <row r="20" spans="1:11" ht="15.75" thickBot="1" x14ac:dyDescent="0.3">
      <c r="B20" s="28" t="str">
        <f>'Data Sheet'!A29</f>
        <v>Tax</v>
      </c>
      <c r="C20" s="31">
        <f>'Data Sheet'!B29</f>
        <v>8156</v>
      </c>
      <c r="D20" s="31">
        <f>'Data Sheet'!C29</f>
        <v>8212</v>
      </c>
      <c r="E20" s="31">
        <f>'Data Sheet'!D29</f>
        <v>10001</v>
      </c>
      <c r="F20" s="31">
        <f>'Data Sheet'!E29</f>
        <v>9801</v>
      </c>
      <c r="G20" s="31">
        <f>'Data Sheet'!F29</f>
        <v>11198</v>
      </c>
      <c r="H20" s="31">
        <f>'Data Sheet'!G29</f>
        <v>13238</v>
      </c>
      <c r="I20" s="31">
        <f>'Data Sheet'!H29</f>
        <v>14604</v>
      </c>
      <c r="J20" s="31">
        <f>'Data Sheet'!I29</f>
        <v>15898</v>
      </c>
      <c r="K20" s="31">
        <f>'Data Sheet'!J29</f>
        <v>16534</v>
      </c>
    </row>
    <row r="21" spans="1:11" ht="15.75" thickBot="1" x14ac:dyDescent="0.3">
      <c r="B21" s="38" t="str">
        <f>'Data Sheet'!A30</f>
        <v>Net profit</v>
      </c>
      <c r="C21" s="39">
        <f>SUM(C18:C19)-C20</f>
        <v>26356</v>
      </c>
      <c r="D21" s="39">
        <f t="shared" ref="D21:K21" si="4">SUM(D18:D19)-D20</f>
        <v>25880</v>
      </c>
      <c r="E21" s="39">
        <f t="shared" si="4"/>
        <v>31562</v>
      </c>
      <c r="F21" s="39">
        <f t="shared" si="4"/>
        <v>32447</v>
      </c>
      <c r="G21" s="39">
        <f t="shared" si="4"/>
        <v>32562</v>
      </c>
      <c r="H21" s="39">
        <f t="shared" si="4"/>
        <v>38449</v>
      </c>
      <c r="I21" s="39">
        <f t="shared" si="4"/>
        <v>42303</v>
      </c>
      <c r="J21" s="39">
        <f t="shared" si="4"/>
        <v>46099</v>
      </c>
      <c r="K21" s="39">
        <f t="shared" si="4"/>
        <v>48797</v>
      </c>
    </row>
    <row r="22" spans="1:11" ht="15.75" thickTop="1" x14ac:dyDescent="0.25">
      <c r="B22" s="28"/>
      <c r="C22" s="31"/>
      <c r="D22" s="31"/>
      <c r="E22" s="31"/>
      <c r="F22" s="31"/>
      <c r="G22" s="31"/>
      <c r="H22" s="31"/>
      <c r="I22" s="31"/>
      <c r="J22" s="31"/>
      <c r="K22" s="31"/>
    </row>
    <row r="23" spans="1:11" x14ac:dyDescent="0.25">
      <c r="B23" s="43" t="str">
        <f>'Data Sheet'!A93</f>
        <v>Adjusted Equity Shares in Cr</v>
      </c>
      <c r="C23" s="40">
        <f>'Data Sheet'!B93</f>
        <v>394.09</v>
      </c>
      <c r="D23" s="40">
        <f>'Data Sheet'!C93</f>
        <v>382.86</v>
      </c>
      <c r="E23" s="40">
        <f>'Data Sheet'!D93</f>
        <v>375.24</v>
      </c>
      <c r="F23" s="40">
        <f>'Data Sheet'!E93</f>
        <v>375.24</v>
      </c>
      <c r="G23" s="40">
        <f>'Data Sheet'!F93</f>
        <v>369.91</v>
      </c>
      <c r="H23" s="40">
        <f>'Data Sheet'!G93</f>
        <v>365.91</v>
      </c>
      <c r="I23" s="40">
        <f>'Data Sheet'!H93</f>
        <v>365.91</v>
      </c>
      <c r="J23" s="40">
        <f>'Data Sheet'!I93</f>
        <v>361.81</v>
      </c>
      <c r="K23" s="40">
        <f>'Data Sheet'!J93</f>
        <v>361.81</v>
      </c>
    </row>
    <row r="24" spans="1:11" x14ac:dyDescent="0.25">
      <c r="B24" s="44" t="s">
        <v>102</v>
      </c>
      <c r="C24" s="41">
        <f>C21/C23</f>
        <v>66.878124286330532</v>
      </c>
      <c r="D24" s="41">
        <f t="shared" ref="D24:K24" si="5">D21/D23</f>
        <v>67.596510473802425</v>
      </c>
      <c r="E24" s="41">
        <f t="shared" si="5"/>
        <v>84.11150197207121</v>
      </c>
      <c r="F24" s="41">
        <f t="shared" si="5"/>
        <v>86.46999253810894</v>
      </c>
      <c r="G24" s="41">
        <f t="shared" si="5"/>
        <v>88.026817333946084</v>
      </c>
      <c r="H24" s="41">
        <f t="shared" si="5"/>
        <v>105.07775135962395</v>
      </c>
      <c r="I24" s="41">
        <f t="shared" si="5"/>
        <v>115.61039599901615</v>
      </c>
      <c r="J24" s="41">
        <f t="shared" si="5"/>
        <v>127.41217766230895</v>
      </c>
      <c r="K24" s="41">
        <f t="shared" si="5"/>
        <v>134.86913020646196</v>
      </c>
    </row>
    <row r="25" spans="1:11" x14ac:dyDescent="0.25">
      <c r="B25" s="20"/>
      <c r="C25" s="30"/>
      <c r="D25" s="30"/>
      <c r="E25" s="30"/>
      <c r="F25" s="30"/>
      <c r="G25" s="30"/>
      <c r="H25" s="30"/>
      <c r="I25" s="30"/>
      <c r="J25" s="30"/>
      <c r="K25" s="30"/>
    </row>
    <row r="26" spans="1:11" x14ac:dyDescent="0.25">
      <c r="B26" s="43" t="str">
        <f>'Data Sheet'!A31</f>
        <v>Dividend Amount</v>
      </c>
      <c r="C26" s="40">
        <f>'Data Sheet'!B31</f>
        <v>9259</v>
      </c>
      <c r="D26" s="40">
        <f>'Data Sheet'!C31</f>
        <v>9550</v>
      </c>
      <c r="E26" s="40">
        <f>'Data Sheet'!D31</f>
        <v>11250</v>
      </c>
      <c r="F26" s="40">
        <f>'Data Sheet'!E31</f>
        <v>27375</v>
      </c>
      <c r="G26" s="40">
        <f>'Data Sheet'!F31</f>
        <v>14060</v>
      </c>
      <c r="H26" s="40">
        <f>'Data Sheet'!G31</f>
        <v>15738</v>
      </c>
      <c r="I26" s="40">
        <f>'Data Sheet'!H31</f>
        <v>42090</v>
      </c>
      <c r="J26" s="40">
        <f>'Data Sheet'!I31</f>
        <v>26426</v>
      </c>
      <c r="K26" s="40">
        <f>'Data Sheet'!J31</f>
        <v>45612</v>
      </c>
    </row>
    <row r="27" spans="1:11" x14ac:dyDescent="0.25">
      <c r="B27" s="45" t="s">
        <v>99</v>
      </c>
      <c r="C27" s="42">
        <f>C21-C26</f>
        <v>17097</v>
      </c>
      <c r="D27" s="42">
        <f t="shared" ref="D27:K27" si="6">D21-D26</f>
        <v>16330</v>
      </c>
      <c r="E27" s="42">
        <f t="shared" si="6"/>
        <v>20312</v>
      </c>
      <c r="F27" s="42">
        <f t="shared" si="6"/>
        <v>5072</v>
      </c>
      <c r="G27" s="42">
        <f t="shared" si="6"/>
        <v>18502</v>
      </c>
      <c r="H27" s="42">
        <f t="shared" si="6"/>
        <v>22711</v>
      </c>
      <c r="I27" s="42">
        <f t="shared" si="6"/>
        <v>213</v>
      </c>
      <c r="J27" s="42">
        <f t="shared" si="6"/>
        <v>19673</v>
      </c>
      <c r="K27" s="42">
        <f t="shared" si="6"/>
        <v>3185</v>
      </c>
    </row>
    <row r="29" spans="1:11" x14ac:dyDescent="0.25">
      <c r="A29" t="s">
        <v>93</v>
      </c>
      <c r="B29" s="164" t="str">
        <f>"Common Size Income Statement"&amp; " "&amp;" - "&amp;B1</f>
        <v>Common Size Income Statement  - Tata Consultancy Services Ltd</v>
      </c>
      <c r="C29" s="164"/>
      <c r="D29" s="164"/>
      <c r="E29" s="164"/>
      <c r="F29" s="164"/>
      <c r="G29" s="164"/>
      <c r="H29" s="164"/>
      <c r="I29" s="164"/>
      <c r="J29" s="164"/>
      <c r="K29" s="164"/>
    </row>
    <row r="30" spans="1:11" s="25" customFormat="1" x14ac:dyDescent="0.25"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x14ac:dyDescent="0.25">
      <c r="B31" t="s">
        <v>103</v>
      </c>
      <c r="C31" s="47">
        <f>C7/C$7</f>
        <v>1</v>
      </c>
      <c r="D31" s="47">
        <f t="shared" ref="D31:K31" si="7">D7/D$7</f>
        <v>1</v>
      </c>
      <c r="E31" s="47">
        <f t="shared" si="7"/>
        <v>1</v>
      </c>
      <c r="F31" s="47">
        <f t="shared" si="7"/>
        <v>1</v>
      </c>
      <c r="G31" s="47">
        <f t="shared" si="7"/>
        <v>1</v>
      </c>
      <c r="H31" s="47">
        <f t="shared" si="7"/>
        <v>1</v>
      </c>
      <c r="I31" s="47">
        <f t="shared" si="7"/>
        <v>1</v>
      </c>
      <c r="J31" s="47">
        <f t="shared" si="7"/>
        <v>1</v>
      </c>
      <c r="K31" s="47">
        <f t="shared" si="7"/>
        <v>1</v>
      </c>
    </row>
    <row r="32" spans="1:11" x14ac:dyDescent="0.25">
      <c r="B32" t="s">
        <v>95</v>
      </c>
      <c r="C32" s="46">
        <f>C11/C$7</f>
        <v>0.54617432141464495</v>
      </c>
      <c r="D32" s="46">
        <f t="shared" ref="D32:K32" si="8">D11/D$7</f>
        <v>0.56128151806602544</v>
      </c>
      <c r="E32" s="46">
        <f t="shared" si="8"/>
        <v>0.5497361108266251</v>
      </c>
      <c r="F32" s="46">
        <f t="shared" si="8"/>
        <v>0.55978056566145695</v>
      </c>
      <c r="G32" s="46">
        <f t="shared" si="8"/>
        <v>0.56814291892286983</v>
      </c>
      <c r="H32" s="46">
        <f t="shared" si="8"/>
        <v>0.56696079351669326</v>
      </c>
      <c r="I32" s="46">
        <f t="shared" si="8"/>
        <v>0.5739561248658287</v>
      </c>
      <c r="J32" s="46">
        <f t="shared" si="8"/>
        <v>0.59708252211562807</v>
      </c>
      <c r="K32" s="46">
        <f t="shared" si="8"/>
        <v>0.61661261769359721</v>
      </c>
    </row>
    <row r="33" spans="2:11" x14ac:dyDescent="0.25">
      <c r="B33" t="s">
        <v>96</v>
      </c>
      <c r="C33" s="46">
        <f>C12/C$7</f>
        <v>0.45382567858535511</v>
      </c>
      <c r="D33" s="46">
        <f t="shared" ref="D33:K33" si="9">D12/D$7</f>
        <v>0.4387184819339745</v>
      </c>
      <c r="E33" s="46">
        <f t="shared" si="9"/>
        <v>0.45026388917337484</v>
      </c>
      <c r="F33" s="46">
        <f t="shared" si="9"/>
        <v>0.4402194343385431</v>
      </c>
      <c r="G33" s="46">
        <f t="shared" si="9"/>
        <v>0.43185708107713017</v>
      </c>
      <c r="H33" s="46">
        <f t="shared" si="9"/>
        <v>0.43303920648330674</v>
      </c>
      <c r="I33" s="46">
        <f t="shared" si="9"/>
        <v>0.42604387513417136</v>
      </c>
      <c r="J33" s="46">
        <f t="shared" si="9"/>
        <v>0.40291747788437188</v>
      </c>
      <c r="K33" s="46">
        <f t="shared" si="9"/>
        <v>0.38338738230640285</v>
      </c>
    </row>
    <row r="34" spans="2:11" x14ac:dyDescent="0.25">
      <c r="B34" t="s">
        <v>97</v>
      </c>
      <c r="C34" s="46">
        <f>SUM(C13:C14)/C$7</f>
        <v>0.17993320109184002</v>
      </c>
      <c r="D34" s="46">
        <f t="shared" ref="D34:K34" si="10">SUM(D13:D14)/D$7</f>
        <v>0.17458409149987003</v>
      </c>
      <c r="E34" s="46">
        <f t="shared" si="10"/>
        <v>0.18053023630541501</v>
      </c>
      <c r="F34" s="46">
        <f t="shared" si="10"/>
        <v>0.17192208934112355</v>
      </c>
      <c r="G34" s="46">
        <f t="shared" si="10"/>
        <v>0.14834599243499394</v>
      </c>
      <c r="H34" s="46">
        <f t="shared" si="10"/>
        <v>0.15634615184037881</v>
      </c>
      <c r="I34" s="46">
        <f t="shared" si="10"/>
        <v>0.16320556378571618</v>
      </c>
      <c r="J34" s="46">
        <f t="shared" si="10"/>
        <v>0.13601059391514075</v>
      </c>
      <c r="K34" s="46">
        <f t="shared" si="10"/>
        <v>0.11938164841534678</v>
      </c>
    </row>
    <row r="35" spans="2:11" x14ac:dyDescent="0.25">
      <c r="B35" t="s">
        <v>104</v>
      </c>
      <c r="C35" s="46">
        <f>C15/C$7</f>
        <v>0.27389247749351509</v>
      </c>
      <c r="D35" s="46">
        <f t="shared" ref="D35:K35" si="11">D15/D$7</f>
        <v>0.26413439043410447</v>
      </c>
      <c r="E35" s="46">
        <f t="shared" si="11"/>
        <v>0.26973365286795981</v>
      </c>
      <c r="F35" s="46">
        <f t="shared" si="11"/>
        <v>0.26829734499741953</v>
      </c>
      <c r="G35" s="46">
        <f t="shared" si="11"/>
        <v>0.28351108864213626</v>
      </c>
      <c r="H35" s="46">
        <f t="shared" si="11"/>
        <v>0.27669305464292793</v>
      </c>
      <c r="I35" s="46">
        <f t="shared" si="11"/>
        <v>0.26283831134845514</v>
      </c>
      <c r="J35" s="46">
        <f t="shared" si="11"/>
        <v>0.26690688396923118</v>
      </c>
      <c r="K35" s="46">
        <f t="shared" si="11"/>
        <v>0.26400573389105608</v>
      </c>
    </row>
    <row r="36" spans="2:11" x14ac:dyDescent="0.25">
      <c r="B36" t="s">
        <v>10</v>
      </c>
      <c r="C36" s="46">
        <f>C16/C$7</f>
        <v>1.6843836359629046E-2</v>
      </c>
      <c r="D36" s="46">
        <f t="shared" ref="D36:K36" si="12">D16/D$7</f>
        <v>1.6360150766831297E-2</v>
      </c>
      <c r="E36" s="46">
        <f t="shared" si="12"/>
        <v>1.4037675044209118E-2</v>
      </c>
      <c r="F36" s="46">
        <f t="shared" si="12"/>
        <v>2.248501105454638E-2</v>
      </c>
      <c r="G36" s="46">
        <f t="shared" si="12"/>
        <v>2.4759862830969016E-2</v>
      </c>
      <c r="H36" s="46">
        <f t="shared" si="12"/>
        <v>2.4009929388695932E-2</v>
      </c>
      <c r="I36" s="46">
        <f t="shared" si="12"/>
        <v>2.2274658694745805E-2</v>
      </c>
      <c r="J36" s="46">
        <f t="shared" si="12"/>
        <v>2.0693835022188273E-2</v>
      </c>
      <c r="K36" s="46">
        <f t="shared" si="12"/>
        <v>2.053077658191161E-2</v>
      </c>
    </row>
    <row r="37" spans="2:11" x14ac:dyDescent="0.25">
      <c r="B37" t="s">
        <v>11</v>
      </c>
      <c r="C37" s="46">
        <f>C17/C$7</f>
        <v>2.7126460166488649E-4</v>
      </c>
      <c r="D37" s="46">
        <f t="shared" ref="D37:K37" si="13">D17/D$7</f>
        <v>4.224070704445022E-4</v>
      </c>
      <c r="E37" s="46">
        <f t="shared" si="13"/>
        <v>1.3518772659306445E-3</v>
      </c>
      <c r="F37" s="46">
        <f t="shared" si="13"/>
        <v>5.8872627414000723E-3</v>
      </c>
      <c r="G37" s="46">
        <f t="shared" si="13"/>
        <v>3.879958824926756E-3</v>
      </c>
      <c r="H37" s="46">
        <f t="shared" si="13"/>
        <v>4.0885718159725483E-3</v>
      </c>
      <c r="I37" s="46">
        <f t="shared" si="13"/>
        <v>3.4551889930718805E-3</v>
      </c>
      <c r="J37" s="46">
        <f t="shared" si="13"/>
        <v>3.2296496784879592E-3</v>
      </c>
      <c r="K37" s="46">
        <f t="shared" si="13"/>
        <v>3.1176074321254562E-3</v>
      </c>
    </row>
    <row r="38" spans="2:11" x14ac:dyDescent="0.25">
      <c r="B38" t="s">
        <v>107</v>
      </c>
      <c r="C38" s="46">
        <f>C18/C$7</f>
        <v>0.25677737653222116</v>
      </c>
      <c r="D38" s="46">
        <f t="shared" ref="D38:K38" si="14">D18/D$7</f>
        <v>0.24735183259682869</v>
      </c>
      <c r="E38" s="46">
        <f t="shared" si="14"/>
        <v>0.25434410055782009</v>
      </c>
      <c r="F38" s="46">
        <f t="shared" si="14"/>
        <v>0.23992507120147308</v>
      </c>
      <c r="G38" s="46">
        <f t="shared" si="14"/>
        <v>0.25487126698624046</v>
      </c>
      <c r="H38" s="46">
        <f t="shared" si="14"/>
        <v>0.24859455343825942</v>
      </c>
      <c r="I38" s="46">
        <f t="shared" si="14"/>
        <v>0.23710846366063745</v>
      </c>
      <c r="J38" s="46">
        <f t="shared" si="14"/>
        <v>0.24298339926855492</v>
      </c>
      <c r="K38" s="46">
        <f t="shared" si="14"/>
        <v>0.24035734987701901</v>
      </c>
    </row>
    <row r="39" spans="2:11" x14ac:dyDescent="0.25">
      <c r="B39" t="s">
        <v>105</v>
      </c>
      <c r="C39" s="46">
        <f>C20/C$7</f>
        <v>6.9138565349337947E-2</v>
      </c>
      <c r="D39" s="46">
        <f t="shared" ref="D39:K39" si="15">D20/D$7</f>
        <v>6.6707824278658692E-2</v>
      </c>
      <c r="E39" s="46">
        <f t="shared" si="15"/>
        <v>6.8283457255416041E-2</v>
      </c>
      <c r="F39" s="46">
        <f t="shared" si="15"/>
        <v>6.2447036935565053E-2</v>
      </c>
      <c r="G39" s="46">
        <f t="shared" si="15"/>
        <v>6.8206874288115879E-2</v>
      </c>
      <c r="H39" s="46">
        <f t="shared" si="15"/>
        <v>6.9036369515107901E-2</v>
      </c>
      <c r="I39" s="46">
        <f t="shared" si="15"/>
        <v>6.4774813934302622E-2</v>
      </c>
      <c r="J39" s="46">
        <f t="shared" si="15"/>
        <v>6.5996106155014889E-2</v>
      </c>
      <c r="K39" s="46">
        <f t="shared" si="15"/>
        <v>6.4756936284877248E-2</v>
      </c>
    </row>
    <row r="40" spans="2:11" x14ac:dyDescent="0.25">
      <c r="B40" t="s">
        <v>106</v>
      </c>
      <c r="C40" s="46">
        <f>C21/C$7</f>
        <v>0.22342030754624215</v>
      </c>
      <c r="D40" s="46">
        <f t="shared" ref="D40:K40" si="16">D21/D$7</f>
        <v>0.21022874967507149</v>
      </c>
      <c r="E40" s="46">
        <f t="shared" si="16"/>
        <v>0.21549469831971216</v>
      </c>
      <c r="F40" s="46">
        <f t="shared" si="16"/>
        <v>0.20673594607165385</v>
      </c>
      <c r="G40" s="46">
        <f t="shared" si="16"/>
        <v>0.19833472410873632</v>
      </c>
      <c r="H40" s="46">
        <f t="shared" si="16"/>
        <v>0.20051211448001086</v>
      </c>
      <c r="I40" s="46">
        <f t="shared" si="16"/>
        <v>0.18763139919630265</v>
      </c>
      <c r="J40" s="46">
        <f t="shared" si="16"/>
        <v>0.19136712150207769</v>
      </c>
      <c r="K40" s="46">
        <f t="shared" si="16"/>
        <v>0.19111795209224358</v>
      </c>
    </row>
    <row r="42" spans="2:11" x14ac:dyDescent="0.25">
      <c r="B42" s="51" t="s">
        <v>108</v>
      </c>
      <c r="C42" s="56" t="s">
        <v>109</v>
      </c>
      <c r="D42" s="48">
        <f>D24/C24-1</f>
        <v>1.0741721529093917E-2</v>
      </c>
      <c r="E42" s="48">
        <f t="shared" ref="E42:K42" si="17">E24/D24-1</f>
        <v>0.24431721966874753</v>
      </c>
      <c r="F42" s="48">
        <f t="shared" si="17"/>
        <v>2.804004815917871E-2</v>
      </c>
      <c r="G42" s="48">
        <f t="shared" si="17"/>
        <v>1.8004220309733698E-2</v>
      </c>
      <c r="H42" s="48">
        <f t="shared" si="17"/>
        <v>0.19370158483626621</v>
      </c>
      <c r="I42" s="48">
        <f t="shared" si="17"/>
        <v>0.10023667715675311</v>
      </c>
      <c r="J42" s="48">
        <f t="shared" si="17"/>
        <v>0.10208235653299935</v>
      </c>
      <c r="K42" s="48">
        <f t="shared" si="17"/>
        <v>5.8526215319204322E-2</v>
      </c>
    </row>
    <row r="43" spans="2:11" x14ac:dyDescent="0.25">
      <c r="D43" s="46"/>
      <c r="E43" s="46"/>
      <c r="F43" s="46"/>
      <c r="G43" s="46"/>
      <c r="H43" s="46"/>
      <c r="I43" s="46"/>
      <c r="J43" s="46"/>
      <c r="K43" s="46"/>
    </row>
    <row r="44" spans="2:11" x14ac:dyDescent="0.25">
      <c r="B44" s="52" t="s">
        <v>110</v>
      </c>
      <c r="C44" s="49">
        <f>C26/C21</f>
        <v>0.35130520564577328</v>
      </c>
      <c r="D44" s="49">
        <f t="shared" ref="D44:K44" si="18">D26/D21</f>
        <v>0.36901081916537865</v>
      </c>
      <c r="E44" s="49">
        <f t="shared" si="18"/>
        <v>0.35644129015905202</v>
      </c>
      <c r="F44" s="49">
        <f t="shared" si="18"/>
        <v>0.8436835454741578</v>
      </c>
      <c r="G44" s="49">
        <f t="shared" si="18"/>
        <v>0.43179165898900557</v>
      </c>
      <c r="H44" s="49">
        <f t="shared" si="18"/>
        <v>0.40932143878904526</v>
      </c>
      <c r="I44" s="49">
        <f t="shared" si="18"/>
        <v>0.99496489610665906</v>
      </c>
      <c r="J44" s="49">
        <f t="shared" si="18"/>
        <v>0.57324453892709171</v>
      </c>
      <c r="K44" s="49">
        <f t="shared" si="18"/>
        <v>0.93472959403242006</v>
      </c>
    </row>
    <row r="45" spans="2:11" x14ac:dyDescent="0.25">
      <c r="B45" s="53" t="s">
        <v>111</v>
      </c>
      <c r="C45" s="50">
        <f>1-C44</f>
        <v>0.64869479435422672</v>
      </c>
      <c r="D45" s="50">
        <f t="shared" ref="D45:K45" si="19">1-D44</f>
        <v>0.6309891808346213</v>
      </c>
      <c r="E45" s="50">
        <f t="shared" si="19"/>
        <v>0.64355870984094798</v>
      </c>
      <c r="F45" s="50">
        <f t="shared" si="19"/>
        <v>0.1563164545258422</v>
      </c>
      <c r="G45" s="50">
        <f t="shared" si="19"/>
        <v>0.56820834101099438</v>
      </c>
      <c r="H45" s="50">
        <f t="shared" si="19"/>
        <v>0.59067856121095474</v>
      </c>
      <c r="I45" s="50">
        <f t="shared" si="19"/>
        <v>5.035103893340942E-3</v>
      </c>
      <c r="J45" s="50">
        <f t="shared" si="19"/>
        <v>0.42675546107290829</v>
      </c>
      <c r="K45" s="50">
        <f t="shared" si="19"/>
        <v>6.5270405967579936E-2</v>
      </c>
    </row>
  </sheetData>
  <sheetProtection algorithmName="SHA-512" hashValue="mr04BWzY7y3jSqM2J9kEASO6lkDuz2onClRcvrq3sok+E+MAYWCK29W/vBLTPrCgJisCd+Zcd9xZN1txDSC6Pw==" saltValue="Dl01IctT5pxB5fAkTrHaHg==" spinCount="100000" sheet="1" objects="1" scenarios="1"/>
  <mergeCells count="3">
    <mergeCell ref="B1:K2"/>
    <mergeCell ref="B29:K29"/>
    <mergeCell ref="B6:K6"/>
  </mergeCells>
  <conditionalFormatting sqref="B31:B40">
    <cfRule type="cellIs" dxfId="0" priority="1" operator="lessThan">
      <formula>0.1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89C3-A535-4070-8E8C-14D8A28E8279}">
  <dimension ref="A2:G39"/>
  <sheetViews>
    <sheetView showGridLines="0" topLeftCell="A6" workbookViewId="0">
      <selection activeCell="E26" sqref="E26"/>
    </sheetView>
  </sheetViews>
  <sheetFormatPr defaultRowHeight="15" x14ac:dyDescent="0.25"/>
  <cols>
    <col min="1" max="1" width="1.85546875" customWidth="1"/>
    <col min="2" max="2" width="22.140625" customWidth="1"/>
    <col min="3" max="3" width="17.5703125" customWidth="1"/>
    <col min="4" max="4" width="15.42578125" customWidth="1"/>
    <col min="5" max="5" width="12.5703125" bestFit="1" customWidth="1"/>
    <col min="6" max="6" width="14.42578125" customWidth="1"/>
    <col min="7" max="7" width="12.85546875" customWidth="1"/>
    <col min="12" max="12" width="12.5703125" bestFit="1" customWidth="1"/>
    <col min="14" max="14" width="12.5703125" bestFit="1" customWidth="1"/>
  </cols>
  <sheetData>
    <row r="2" spans="2:7" ht="15" customHeight="1" x14ac:dyDescent="0.25">
      <c r="B2" s="166" t="s">
        <v>112</v>
      </c>
      <c r="C2" s="166"/>
      <c r="D2" s="166"/>
      <c r="E2" s="166"/>
      <c r="F2" s="166"/>
      <c r="G2" s="166"/>
    </row>
    <row r="3" spans="2:7" ht="8.25" customHeight="1" thickBot="1" x14ac:dyDescent="0.3">
      <c r="B3" s="167"/>
      <c r="C3" s="167"/>
      <c r="D3" s="167"/>
      <c r="E3" s="167"/>
      <c r="F3" s="167"/>
      <c r="G3" s="167"/>
    </row>
    <row r="4" spans="2:7" x14ac:dyDescent="0.25">
      <c r="B4" s="58" t="s">
        <v>113</v>
      </c>
      <c r="C4" s="58"/>
      <c r="D4" s="58"/>
    </row>
    <row r="6" spans="2:7" x14ac:dyDescent="0.25">
      <c r="B6" s="169" t="s">
        <v>114</v>
      </c>
      <c r="C6" s="169"/>
      <c r="D6" s="169"/>
      <c r="E6" s="169"/>
      <c r="F6" s="169"/>
      <c r="G6" s="169"/>
    </row>
    <row r="7" spans="2:7" x14ac:dyDescent="0.25">
      <c r="B7" s="59" t="s">
        <v>115</v>
      </c>
      <c r="C7" s="82">
        <v>0</v>
      </c>
      <c r="D7" s="82">
        <f>C7+1</f>
        <v>1</v>
      </c>
      <c r="E7" s="82">
        <f>D7+1</f>
        <v>2</v>
      </c>
      <c r="F7" s="82">
        <f t="shared" ref="F7:G7" si="0">E7+1</f>
        <v>3</v>
      </c>
      <c r="G7" s="82">
        <f t="shared" si="0"/>
        <v>4</v>
      </c>
    </row>
    <row r="8" spans="2:7" x14ac:dyDescent="0.25">
      <c r="B8" t="s">
        <v>116</v>
      </c>
      <c r="C8" s="81">
        <v>-5000000</v>
      </c>
      <c r="D8" s="81">
        <v>1500000</v>
      </c>
      <c r="E8" s="81">
        <v>2000000</v>
      </c>
      <c r="F8" s="81">
        <v>2500000</v>
      </c>
      <c r="G8" s="81">
        <v>3000000</v>
      </c>
    </row>
    <row r="9" spans="2:7" x14ac:dyDescent="0.25">
      <c r="B9" s="66" t="s">
        <v>118</v>
      </c>
      <c r="C9" s="67">
        <f>C8</f>
        <v>-5000000</v>
      </c>
      <c r="D9" s="67">
        <f>D8+C9</f>
        <v>-3500000</v>
      </c>
      <c r="E9" s="67">
        <f t="shared" ref="E9:G9" si="1">E8+D9</f>
        <v>-1500000</v>
      </c>
      <c r="F9" s="67">
        <f t="shared" si="1"/>
        <v>1000000</v>
      </c>
      <c r="G9" s="67">
        <f t="shared" si="1"/>
        <v>4000000</v>
      </c>
    </row>
    <row r="12" spans="2:7" x14ac:dyDescent="0.25">
      <c r="C12" s="62" t="s">
        <v>117</v>
      </c>
      <c r="D12" s="63">
        <v>0.12</v>
      </c>
    </row>
    <row r="13" spans="2:7" x14ac:dyDescent="0.25">
      <c r="C13" s="62" t="s">
        <v>119</v>
      </c>
      <c r="D13" s="80">
        <f>NPV(D12,D8:G8)+C8</f>
        <v>1619678.3241357747</v>
      </c>
    </row>
    <row r="14" spans="2:7" x14ac:dyDescent="0.25">
      <c r="C14" s="62" t="s">
        <v>120</v>
      </c>
      <c r="D14" s="64">
        <f>IRR(C8:G8)</f>
        <v>0.24888335662407091</v>
      </c>
    </row>
    <row r="15" spans="2:7" x14ac:dyDescent="0.25">
      <c r="C15" s="62" t="s">
        <v>121</v>
      </c>
      <c r="D15" s="65">
        <f>2+F9/G8</f>
        <v>2.3333333333333335</v>
      </c>
    </row>
    <row r="18" spans="2:7" ht="15.75" thickBot="1" x14ac:dyDescent="0.3">
      <c r="B18" s="168" t="s">
        <v>122</v>
      </c>
      <c r="C18" s="168"/>
    </row>
    <row r="19" spans="2:7" x14ac:dyDescent="0.25">
      <c r="B19" s="68"/>
      <c r="C19" s="68"/>
    </row>
    <row r="20" spans="2:7" x14ac:dyDescent="0.25">
      <c r="B20" s="68"/>
      <c r="C20" s="69" t="s">
        <v>126</v>
      </c>
      <c r="D20" s="70">
        <v>5000000</v>
      </c>
      <c r="F20" s="71" t="s">
        <v>117</v>
      </c>
      <c r="G20" s="64">
        <f>D12</f>
        <v>0.12</v>
      </c>
    </row>
    <row r="22" spans="2:7" x14ac:dyDescent="0.25">
      <c r="C22" s="77" t="s">
        <v>123</v>
      </c>
      <c r="D22" s="78" t="s">
        <v>116</v>
      </c>
      <c r="E22" s="78" t="s">
        <v>125</v>
      </c>
      <c r="F22" s="78" t="s">
        <v>124</v>
      </c>
    </row>
    <row r="23" spans="2:7" x14ac:dyDescent="0.25">
      <c r="C23" s="72">
        <v>1</v>
      </c>
      <c r="D23" s="73" cm="1">
        <f t="array" ref="D23:D26">TRANSPOSE(D8:G8)</f>
        <v>1500000</v>
      </c>
      <c r="E23" s="74">
        <f>1/1.12</f>
        <v>0.89285714285714279</v>
      </c>
      <c r="F23" s="75">
        <f>D23*E23</f>
        <v>1339285.7142857141</v>
      </c>
    </row>
    <row r="24" spans="2:7" x14ac:dyDescent="0.25">
      <c r="C24" s="72">
        <f>C23+1</f>
        <v>2</v>
      </c>
      <c r="D24" s="73">
        <v>2000000</v>
      </c>
      <c r="E24" s="74">
        <f>E23/1.12</f>
        <v>0.79719387755102022</v>
      </c>
      <c r="F24" s="75">
        <f t="shared" ref="F24:F26" si="2">D24*E24</f>
        <v>1594387.7551020405</v>
      </c>
    </row>
    <row r="25" spans="2:7" x14ac:dyDescent="0.25">
      <c r="C25" s="72">
        <f t="shared" ref="C25:C26" si="3">C24+1</f>
        <v>3</v>
      </c>
      <c r="D25" s="73">
        <v>2500000</v>
      </c>
      <c r="E25" s="74">
        <f t="shared" ref="E25:E26" si="4">E24/1.12</f>
        <v>0.71178024781341087</v>
      </c>
      <c r="F25" s="75">
        <f t="shared" si="2"/>
        <v>1779450.6195335272</v>
      </c>
    </row>
    <row r="26" spans="2:7" x14ac:dyDescent="0.25">
      <c r="C26" s="72">
        <f t="shared" si="3"/>
        <v>4</v>
      </c>
      <c r="D26" s="73">
        <v>3000000</v>
      </c>
      <c r="E26" s="74">
        <f t="shared" si="4"/>
        <v>0.6355180784048311</v>
      </c>
      <c r="F26" s="75">
        <f t="shared" si="2"/>
        <v>1906554.2352144932</v>
      </c>
    </row>
    <row r="27" spans="2:7" x14ac:dyDescent="0.25">
      <c r="C27" s="62"/>
      <c r="D27" s="62"/>
      <c r="E27" s="69" t="s">
        <v>127</v>
      </c>
      <c r="F27" s="76">
        <f>SUM(F23:F26)</f>
        <v>6619678.3241357757</v>
      </c>
    </row>
    <row r="29" spans="2:7" x14ac:dyDescent="0.25">
      <c r="D29" s="71" t="s">
        <v>119</v>
      </c>
      <c r="E29" s="79">
        <f>F27-D20</f>
        <v>1619678.3241357757</v>
      </c>
    </row>
    <row r="33" spans="1:6" x14ac:dyDescent="0.25">
      <c r="B33" s="165" t="s">
        <v>128</v>
      </c>
      <c r="C33" s="165"/>
    </row>
    <row r="34" spans="1:6" x14ac:dyDescent="0.25">
      <c r="A34" t="s">
        <v>93</v>
      </c>
      <c r="B34" s="83" t="s">
        <v>129</v>
      </c>
      <c r="C34" s="58"/>
      <c r="D34" s="58"/>
      <c r="E34" s="58"/>
      <c r="F34" s="58"/>
    </row>
    <row r="35" spans="1:6" x14ac:dyDescent="0.25">
      <c r="B35" s="58" t="s">
        <v>130</v>
      </c>
      <c r="C35" s="58"/>
      <c r="D35" s="58"/>
      <c r="E35" s="58"/>
      <c r="F35" s="58"/>
    </row>
    <row r="36" spans="1:6" x14ac:dyDescent="0.25">
      <c r="A36" t="s">
        <v>93</v>
      </c>
      <c r="B36" s="83" t="s">
        <v>131</v>
      </c>
      <c r="C36" s="58"/>
      <c r="D36" s="58"/>
      <c r="E36" s="58"/>
      <c r="F36" s="58"/>
    </row>
    <row r="37" spans="1:6" x14ac:dyDescent="0.25">
      <c r="B37" s="58" t="s">
        <v>132</v>
      </c>
      <c r="C37" s="58"/>
      <c r="D37" s="58"/>
      <c r="E37" s="58"/>
      <c r="F37" s="58"/>
    </row>
    <row r="38" spans="1:6" x14ac:dyDescent="0.25">
      <c r="A38" t="s">
        <v>93</v>
      </c>
      <c r="B38" s="83" t="s">
        <v>133</v>
      </c>
      <c r="C38" s="58"/>
      <c r="D38" s="58"/>
      <c r="E38" s="58"/>
      <c r="F38" s="58"/>
    </row>
    <row r="39" spans="1:6" x14ac:dyDescent="0.25">
      <c r="B39" s="58" t="s">
        <v>134</v>
      </c>
      <c r="C39" s="58"/>
      <c r="D39" s="58"/>
      <c r="E39" s="58"/>
      <c r="F39" s="58"/>
    </row>
  </sheetData>
  <sheetProtection algorithmName="SHA-512" hashValue="dfSi9LJKiQSq33BttNOfgb+tuRkSbKKPmrWre5rPAPQmh+0JLIGtvHgOjfGYsRy0WKc6fw2uo4gjG51cnjSgHw==" saltValue="J5lVYSi3JZ0wKJSl9CRCNw==" spinCount="100000" sheet="1" objects="1" scenarios="1"/>
  <mergeCells count="4">
    <mergeCell ref="B33:C33"/>
    <mergeCell ref="B2:G3"/>
    <mergeCell ref="B18:C18"/>
    <mergeCell ref="B6:G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F403-896C-479A-A758-A1F12D718B1D}">
  <dimension ref="B2:G13"/>
  <sheetViews>
    <sheetView showGridLines="0" workbookViewId="0">
      <selection activeCell="E21" sqref="E21"/>
    </sheetView>
  </sheetViews>
  <sheetFormatPr defaultRowHeight="15" x14ac:dyDescent="0.25"/>
  <cols>
    <col min="1" max="1" width="1.85546875" customWidth="1"/>
    <col min="2" max="2" width="13.42578125" customWidth="1"/>
    <col min="3" max="3" width="17.7109375" customWidth="1"/>
    <col min="4" max="4" width="13.42578125" customWidth="1"/>
  </cols>
  <sheetData>
    <row r="2" spans="2:7" x14ac:dyDescent="0.25">
      <c r="B2" s="170" t="s">
        <v>135</v>
      </c>
      <c r="C2" s="170"/>
      <c r="D2" s="170"/>
    </row>
    <row r="3" spans="2:7" x14ac:dyDescent="0.25">
      <c r="B3" t="s">
        <v>136</v>
      </c>
      <c r="D3" s="84">
        <v>300000</v>
      </c>
    </row>
    <row r="4" spans="2:7" x14ac:dyDescent="0.25">
      <c r="B4" t="s">
        <v>137</v>
      </c>
      <c r="D4" s="84">
        <v>210000</v>
      </c>
    </row>
    <row r="5" spans="2:7" x14ac:dyDescent="0.25">
      <c r="B5" s="66" t="s">
        <v>142</v>
      </c>
      <c r="C5" s="66"/>
      <c r="D5" s="87">
        <f>D3-D4</f>
        <v>90000</v>
      </c>
    </row>
    <row r="6" spans="2:7" x14ac:dyDescent="0.25">
      <c r="B6" t="s">
        <v>138</v>
      </c>
      <c r="D6" s="84">
        <v>40000</v>
      </c>
    </row>
    <row r="7" spans="2:7" x14ac:dyDescent="0.25">
      <c r="B7" s="66" t="s">
        <v>143</v>
      </c>
      <c r="C7" s="66"/>
      <c r="D7" s="87">
        <f>D5-D6</f>
        <v>50000</v>
      </c>
    </row>
    <row r="8" spans="2:7" x14ac:dyDescent="0.25">
      <c r="B8" t="s">
        <v>139</v>
      </c>
      <c r="D8" s="84">
        <v>8000</v>
      </c>
    </row>
    <row r="9" spans="2:7" ht="15.75" thickBot="1" x14ac:dyDescent="0.3">
      <c r="B9" s="88" t="s">
        <v>144</v>
      </c>
      <c r="C9" s="88"/>
      <c r="D9" s="89">
        <f>D7-D8</f>
        <v>42000</v>
      </c>
      <c r="G9" s="2"/>
    </row>
    <row r="10" spans="2:7" ht="15.75" thickTop="1" x14ac:dyDescent="0.25"/>
    <row r="11" spans="2:7" x14ac:dyDescent="0.25">
      <c r="B11" s="171" t="s">
        <v>140</v>
      </c>
      <c r="C11" s="171"/>
      <c r="D11" s="85">
        <f>D5/D7</f>
        <v>1.8</v>
      </c>
    </row>
    <row r="12" spans="2:7" x14ac:dyDescent="0.25">
      <c r="B12" s="172" t="s">
        <v>141</v>
      </c>
      <c r="C12" s="172"/>
      <c r="D12" s="85">
        <f>D7/D9</f>
        <v>1.1904761904761905</v>
      </c>
    </row>
    <row r="13" spans="2:7" x14ac:dyDescent="0.25">
      <c r="B13" s="173" t="s">
        <v>145</v>
      </c>
      <c r="C13" s="173"/>
      <c r="D13" s="86">
        <f>D11*D12</f>
        <v>2.1428571428571428</v>
      </c>
    </row>
  </sheetData>
  <sheetProtection algorithmName="SHA-512" hashValue="PkVuPEIHl08NP4+/OJTygDoV2Zd+M+d19DrxwzdsRGgM8007QonID3aNN0pIo7W7x3zu0nRUw/6oCfKK7YVLlw==" saltValue="P/xs3fNYJCa93YXjKFw+Gw==" spinCount="100000" sheet="1" objects="1" scenarios="1"/>
  <mergeCells count="4">
    <mergeCell ref="B2:D2"/>
    <mergeCell ref="B11:C11"/>
    <mergeCell ref="B12:C12"/>
    <mergeCell ref="B13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FC9A-E2B9-4ECF-B607-03CEC7FE4D9E}">
  <dimension ref="B1:T41"/>
  <sheetViews>
    <sheetView showGridLines="0" workbookViewId="0">
      <selection activeCell="M16" sqref="A1:XFD1048576"/>
    </sheetView>
  </sheetViews>
  <sheetFormatPr defaultRowHeight="15" x14ac:dyDescent="0.25"/>
  <cols>
    <col min="1" max="1" width="1.85546875" customWidth="1"/>
    <col min="2" max="2" width="19.85546875" customWidth="1"/>
    <col min="3" max="3" width="8.28515625" customWidth="1"/>
    <col min="4" max="4" width="10.7109375" bestFit="1" customWidth="1"/>
    <col min="5" max="5" width="12.28515625" customWidth="1"/>
    <col min="7" max="10" width="12.7109375" customWidth="1"/>
    <col min="13" max="13" width="5.7109375" bestFit="1" customWidth="1"/>
    <col min="14" max="14" width="15" bestFit="1" customWidth="1"/>
    <col min="15" max="15" width="8" bestFit="1" customWidth="1"/>
    <col min="16" max="16" width="14.140625" bestFit="1" customWidth="1"/>
    <col min="17" max="17" width="10.7109375" bestFit="1" customWidth="1"/>
    <col min="18" max="18" width="10.7109375" customWidth="1"/>
    <col min="19" max="19" width="12.28515625" bestFit="1" customWidth="1"/>
  </cols>
  <sheetData>
    <row r="1" spans="2:20" x14ac:dyDescent="0.25">
      <c r="B1" s="174" t="s">
        <v>181</v>
      </c>
      <c r="C1" s="174"/>
      <c r="D1" s="174"/>
      <c r="E1" s="174"/>
      <c r="F1" s="174"/>
      <c r="G1" s="174"/>
      <c r="H1" s="174"/>
      <c r="I1" s="174"/>
      <c r="J1" s="174"/>
    </row>
    <row r="2" spans="2:20" x14ac:dyDescent="0.25">
      <c r="B2" s="174"/>
      <c r="C2" s="174"/>
      <c r="D2" s="174"/>
      <c r="E2" s="174"/>
      <c r="F2" s="174"/>
      <c r="G2" s="174"/>
      <c r="H2" s="174"/>
      <c r="I2" s="174"/>
      <c r="J2" s="174"/>
    </row>
    <row r="3" spans="2:20" s="25" customFormat="1" ht="14.25" customHeight="1" x14ac:dyDescent="0.25">
      <c r="B3" s="118"/>
      <c r="C3" s="118"/>
      <c r="D3" s="118"/>
      <c r="E3" s="118"/>
      <c r="F3" s="118"/>
      <c r="G3" s="118"/>
      <c r="H3" s="118"/>
      <c r="I3" s="118"/>
      <c r="J3" s="118"/>
    </row>
    <row r="4" spans="2:20" x14ac:dyDescent="0.25">
      <c r="B4" s="175" t="s">
        <v>146</v>
      </c>
      <c r="C4" s="175"/>
      <c r="D4" s="175"/>
      <c r="E4" s="175"/>
      <c r="F4" s="175"/>
      <c r="G4" s="175"/>
      <c r="H4" s="175"/>
      <c r="I4" s="175"/>
      <c r="J4" s="175"/>
    </row>
    <row r="5" spans="2:20" ht="15.75" thickBot="1" x14ac:dyDescent="0.3">
      <c r="B5" s="90" t="s">
        <v>147</v>
      </c>
    </row>
    <row r="6" spans="2:20" x14ac:dyDescent="0.25">
      <c r="B6" s="91"/>
      <c r="C6" s="91"/>
      <c r="D6" s="91"/>
      <c r="E6" s="91"/>
      <c r="F6" s="91"/>
      <c r="G6" s="92" t="s">
        <v>148</v>
      </c>
      <c r="H6" s="92" t="s">
        <v>149</v>
      </c>
      <c r="I6" s="92" t="s">
        <v>150</v>
      </c>
      <c r="J6" s="92" t="s">
        <v>151</v>
      </c>
    </row>
    <row r="7" spans="2:20" ht="18" thickBot="1" x14ac:dyDescent="0.3">
      <c r="B7" s="93" t="s">
        <v>152</v>
      </c>
      <c r="C7" s="93" t="s">
        <v>153</v>
      </c>
      <c r="D7" s="93" t="s">
        <v>154</v>
      </c>
      <c r="E7" s="93" t="s">
        <v>155</v>
      </c>
      <c r="F7" s="93" t="s">
        <v>156</v>
      </c>
      <c r="G7" s="94" t="s">
        <v>157</v>
      </c>
      <c r="H7" s="94" t="s">
        <v>158</v>
      </c>
      <c r="I7" s="94" t="s">
        <v>159</v>
      </c>
      <c r="J7" s="94" t="s">
        <v>160</v>
      </c>
      <c r="M7" s="57"/>
      <c r="N7" s="57"/>
      <c r="O7" s="57"/>
      <c r="P7" s="57"/>
      <c r="Q7" s="57"/>
      <c r="R7" s="57"/>
      <c r="S7" s="57"/>
      <c r="T7" s="57"/>
    </row>
    <row r="8" spans="2:20" x14ac:dyDescent="0.25">
      <c r="M8" s="57"/>
      <c r="N8" s="57"/>
      <c r="O8" s="57"/>
      <c r="P8" s="57"/>
      <c r="Q8" s="57"/>
      <c r="R8" s="57"/>
      <c r="S8" s="57"/>
      <c r="T8" s="117"/>
    </row>
    <row r="9" spans="2:20" x14ac:dyDescent="0.25">
      <c r="B9" s="57" t="s">
        <v>191</v>
      </c>
      <c r="C9" s="95" t="s">
        <v>161</v>
      </c>
      <c r="D9" s="96">
        <f>'DATA FOR WACC'!F4</f>
        <v>11283</v>
      </c>
      <c r="E9" s="96">
        <f>'DATA FOR WACC'!E4</f>
        <v>924366.49</v>
      </c>
      <c r="F9" s="97">
        <v>0.3</v>
      </c>
      <c r="G9" s="46">
        <f>D9/E9</f>
        <v>1.2206197565643038E-2</v>
      </c>
      <c r="H9" s="46">
        <f>D9/(D9+E9)</f>
        <v>1.2059002992669829E-2</v>
      </c>
      <c r="I9" s="98">
        <v>0.89</v>
      </c>
      <c r="J9" s="99">
        <f>I9/(1+(1-F9)*G9)</f>
        <v>0.882459963538892</v>
      </c>
      <c r="M9" s="57"/>
      <c r="N9" s="57"/>
      <c r="O9" s="57"/>
      <c r="P9" s="57"/>
      <c r="Q9" s="57"/>
      <c r="R9" s="57"/>
      <c r="S9" s="57"/>
      <c r="T9" s="117"/>
    </row>
    <row r="10" spans="2:20" x14ac:dyDescent="0.25">
      <c r="B10" s="57" t="s">
        <v>187</v>
      </c>
      <c r="C10" s="95" t="s">
        <v>161</v>
      </c>
      <c r="D10" s="96">
        <f>'DATA FOR WACC'!F5</f>
        <v>8796</v>
      </c>
      <c r="E10" s="96">
        <f>'DATA FOR WACC'!E5</f>
        <v>529152.57999999996</v>
      </c>
      <c r="F10" s="97">
        <v>0.3</v>
      </c>
      <c r="G10" s="46">
        <f t="shared" ref="G10:G11" si="0">D10/E10</f>
        <v>1.6622804711639128E-2</v>
      </c>
      <c r="H10" s="46">
        <f t="shared" ref="H10:H11" si="1">D10/(D10+E10)</f>
        <v>1.6351005146253941E-2</v>
      </c>
      <c r="I10" s="98">
        <v>0.75</v>
      </c>
      <c r="J10" s="99">
        <f t="shared" ref="J10:J11" si="2">I10/(1+(1-F10)*G10)</f>
        <v>0.74137340625459902</v>
      </c>
      <c r="M10" s="57"/>
      <c r="N10" s="57"/>
      <c r="O10" s="57"/>
      <c r="P10" s="57"/>
      <c r="Q10" s="57"/>
      <c r="R10" s="57"/>
      <c r="S10" s="57"/>
      <c r="T10" s="117"/>
    </row>
    <row r="11" spans="2:20" x14ac:dyDescent="0.25">
      <c r="B11" s="57" t="s">
        <v>196</v>
      </c>
      <c r="C11" s="95" t="s">
        <v>161</v>
      </c>
      <c r="D11" s="96">
        <f>'DATA FOR WACC'!F6</f>
        <v>630</v>
      </c>
      <c r="E11" s="96">
        <f>'DATA FOR WACC'!E6</f>
        <v>36333.93</v>
      </c>
      <c r="F11" s="97">
        <v>0.3</v>
      </c>
      <c r="G11" s="46">
        <f t="shared" si="0"/>
        <v>1.7339164797201954E-2</v>
      </c>
      <c r="H11" s="46">
        <f t="shared" si="1"/>
        <v>1.70436422750503E-2</v>
      </c>
      <c r="I11" s="98">
        <v>0.97</v>
      </c>
      <c r="J11" s="99">
        <f t="shared" si="2"/>
        <v>0.95836789084302809</v>
      </c>
    </row>
    <row r="12" spans="2:20" ht="15.75" thickBot="1" x14ac:dyDescent="0.3"/>
    <row r="13" spans="2:20" x14ac:dyDescent="0.25">
      <c r="E13" s="91" t="s">
        <v>162</v>
      </c>
      <c r="F13" s="100">
        <f>AVERAGE(F9:F11)</f>
        <v>0.3</v>
      </c>
      <c r="G13" s="100">
        <f>AVERAGE(G9:G11)</f>
        <v>1.5389389024828041E-2</v>
      </c>
      <c r="H13" s="100">
        <f>AVERAGE(H9:H11)</f>
        <v>1.5151216804658023E-2</v>
      </c>
      <c r="I13" s="101">
        <f>AVERAGE(I9:I11)</f>
        <v>0.87000000000000011</v>
      </c>
      <c r="J13" s="101">
        <f>AVERAGE(J9:J11)</f>
        <v>0.8607337535455063</v>
      </c>
    </row>
    <row r="14" spans="2:20" ht="15.75" thickBot="1" x14ac:dyDescent="0.3">
      <c r="E14" s="93" t="s">
        <v>163</v>
      </c>
      <c r="F14" s="102">
        <f>MEDIAN(F9:F11)</f>
        <v>0.3</v>
      </c>
      <c r="G14" s="102">
        <f>MEDIAN(G9:G11)</f>
        <v>1.6622804711639128E-2</v>
      </c>
      <c r="H14" s="102">
        <f>MEDIAN(H9:H11)</f>
        <v>1.6351005146253941E-2</v>
      </c>
      <c r="I14" s="103">
        <f>MEDIAN(I9:I11)</f>
        <v>0.89</v>
      </c>
      <c r="J14" s="103">
        <f>MEDIAN(J9:J11)</f>
        <v>0.882459963538892</v>
      </c>
    </row>
    <row r="17" spans="2:10" ht="15.75" thickBot="1" x14ac:dyDescent="0.3">
      <c r="B17" s="93" t="s">
        <v>164</v>
      </c>
      <c r="C17" s="104"/>
      <c r="D17" s="104"/>
      <c r="E17" s="104"/>
      <c r="G17" s="93" t="s">
        <v>165</v>
      </c>
      <c r="H17" s="104"/>
      <c r="I17" s="104"/>
      <c r="J17" s="104"/>
    </row>
    <row r="19" spans="2:10" x14ac:dyDescent="0.25">
      <c r="B19" t="s">
        <v>166</v>
      </c>
      <c r="C19" s="105"/>
      <c r="E19" s="105">
        <f>'DATA FOR WACC'!I4/'DATA FOR WACC'!F4</f>
        <v>7.0548612957546747E-2</v>
      </c>
      <c r="G19" t="s">
        <v>167</v>
      </c>
      <c r="J19" s="105">
        <v>6.8599999999999994E-2</v>
      </c>
    </row>
    <row r="20" spans="2:10" x14ac:dyDescent="0.25">
      <c r="B20" t="s">
        <v>168</v>
      </c>
      <c r="C20" s="106"/>
      <c r="E20" s="5">
        <f>F11</f>
        <v>0.3</v>
      </c>
      <c r="G20" t="s">
        <v>169</v>
      </c>
      <c r="J20" s="5">
        <f>[1]DCF!F4-[1]DCF!J18</f>
        <v>0</v>
      </c>
    </row>
    <row r="21" spans="2:10" ht="17.25" x14ac:dyDescent="0.25">
      <c r="B21" s="107" t="s">
        <v>170</v>
      </c>
      <c r="C21" s="108"/>
      <c r="D21" s="107"/>
      <c r="E21" s="109">
        <f>E19*(1-E20)</f>
        <v>4.938402907028272E-2</v>
      </c>
      <c r="G21" t="s">
        <v>171</v>
      </c>
      <c r="J21" s="99">
        <f>J31</f>
        <v>0.89196318852124901</v>
      </c>
    </row>
    <row r="22" spans="2:10" x14ac:dyDescent="0.25">
      <c r="G22" s="107" t="s">
        <v>165</v>
      </c>
      <c r="H22" s="107"/>
      <c r="I22" s="107"/>
      <c r="J22" s="109">
        <f>J19+J20*J21</f>
        <v>6.8599999999999994E-2</v>
      </c>
    </row>
    <row r="26" spans="2:10" ht="15.75" thickBot="1" x14ac:dyDescent="0.3">
      <c r="B26" s="93" t="s">
        <v>172</v>
      </c>
      <c r="C26" s="104"/>
      <c r="D26" s="104"/>
      <c r="E26" s="104"/>
      <c r="G26" s="93" t="s">
        <v>173</v>
      </c>
      <c r="H26" s="104"/>
      <c r="I26" s="104"/>
      <c r="J26" s="104"/>
    </row>
    <row r="28" spans="2:10" ht="15.75" thickBot="1" x14ac:dyDescent="0.3">
      <c r="D28" s="110" t="s">
        <v>174</v>
      </c>
      <c r="E28" s="110" t="s">
        <v>175</v>
      </c>
      <c r="G28" t="s">
        <v>176</v>
      </c>
      <c r="J28" s="99">
        <f>J14</f>
        <v>0.882459963538892</v>
      </c>
    </row>
    <row r="29" spans="2:10" x14ac:dyDescent="0.25">
      <c r="B29" t="s">
        <v>154</v>
      </c>
      <c r="C29" s="61">
        <f>D9</f>
        <v>11283</v>
      </c>
      <c r="D29" s="46">
        <f>C29/C31</f>
        <v>1.2059002992669829E-2</v>
      </c>
      <c r="E29" s="5">
        <f>H13</f>
        <v>1.5151216804658023E-2</v>
      </c>
      <c r="G29" t="s">
        <v>177</v>
      </c>
      <c r="J29" s="5">
        <f>E34</f>
        <v>1.5384307787333502E-2</v>
      </c>
    </row>
    <row r="30" spans="2:10" x14ac:dyDescent="0.25">
      <c r="B30" t="s">
        <v>79</v>
      </c>
      <c r="C30" s="61">
        <f>E9</f>
        <v>924366.49</v>
      </c>
      <c r="D30" s="111">
        <f>C30/C31</f>
        <v>0.98794099700733018</v>
      </c>
      <c r="E30" s="5">
        <f>E31-E29</f>
        <v>0.98484878319534197</v>
      </c>
      <c r="G30" t="s">
        <v>178</v>
      </c>
      <c r="J30" s="60">
        <f>E20</f>
        <v>0.3</v>
      </c>
    </row>
    <row r="31" spans="2:10" x14ac:dyDescent="0.25">
      <c r="B31" s="107" t="s">
        <v>179</v>
      </c>
      <c r="C31" s="107">
        <f>SUM(C29:C30)</f>
        <v>935649.49</v>
      </c>
      <c r="D31" s="49">
        <f>C31/C31</f>
        <v>1</v>
      </c>
      <c r="E31" s="49">
        <f>D31/D31</f>
        <v>1</v>
      </c>
      <c r="G31" s="112" t="s">
        <v>173</v>
      </c>
      <c r="H31" s="107"/>
      <c r="I31" s="107"/>
      <c r="J31" s="113">
        <f>J28*(1+(1-J30)*J29)</f>
        <v>0.89196318852124901</v>
      </c>
    </row>
    <row r="34" spans="2:10" ht="15.75" thickBot="1" x14ac:dyDescent="0.3">
      <c r="B34" t="s">
        <v>180</v>
      </c>
      <c r="C34" s="46"/>
      <c r="D34" s="114">
        <f>D29/D30</f>
        <v>1.2206197565643038E-2</v>
      </c>
      <c r="E34" s="114">
        <f>E29/E30</f>
        <v>1.5384307787333502E-2</v>
      </c>
      <c r="G34" s="93" t="s">
        <v>181</v>
      </c>
      <c r="H34" s="104"/>
      <c r="I34" s="104"/>
      <c r="J34" s="104"/>
    </row>
    <row r="35" spans="2:10" x14ac:dyDescent="0.25">
      <c r="G35" t="s">
        <v>182</v>
      </c>
      <c r="I35" s="5"/>
      <c r="J35" s="5">
        <f>J22</f>
        <v>6.8599999999999994E-2</v>
      </c>
    </row>
    <row r="36" spans="2:10" x14ac:dyDescent="0.25">
      <c r="G36" t="s">
        <v>183</v>
      </c>
      <c r="J36" s="5">
        <f>E30</f>
        <v>0.98484878319534197</v>
      </c>
    </row>
    <row r="38" spans="2:10" x14ac:dyDescent="0.25">
      <c r="G38" t="s">
        <v>184</v>
      </c>
      <c r="J38" s="5">
        <f>E21</f>
        <v>4.938402907028272E-2</v>
      </c>
    </row>
    <row r="39" spans="2:10" x14ac:dyDescent="0.25">
      <c r="G39" t="s">
        <v>185</v>
      </c>
      <c r="J39" s="5">
        <f>E29</f>
        <v>1.5151216804658023E-2</v>
      </c>
    </row>
    <row r="40" spans="2:10" ht="15.75" thickBot="1" x14ac:dyDescent="0.3">
      <c r="G40" s="115" t="s">
        <v>186</v>
      </c>
      <c r="H40" s="115"/>
      <c r="I40" s="115"/>
      <c r="J40" s="116">
        <f>(J35*J36)+(J38*J39)</f>
        <v>6.8308854658331836E-2</v>
      </c>
    </row>
    <row r="41" spans="2:10" ht="15.75" thickTop="1" x14ac:dyDescent="0.25"/>
  </sheetData>
  <sheetProtection algorithmName="SHA-512" hashValue="hKTQUiYzyAK/WVBD91cysVUVinQ2Yn878a71pNp9ACajFKaV8Fk+ky5nZ9r4G6VOjPEEDKT8KsF6bG7sYp556A==" saltValue="1c2uA1bNrLBnlyoryxtRcw==" spinCount="100000" sheet="1" objects="1" scenarios="1"/>
  <mergeCells count="2">
    <mergeCell ref="B1:J2"/>
    <mergeCell ref="B4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DB4D-8076-455B-858B-7F1E1A7DA48A}">
  <dimension ref="B1:F38"/>
  <sheetViews>
    <sheetView showGridLines="0" topLeftCell="A3" workbookViewId="0">
      <selection activeCell="C24" sqref="C24"/>
    </sheetView>
  </sheetViews>
  <sheetFormatPr defaultRowHeight="15" x14ac:dyDescent="0.25"/>
  <cols>
    <col min="1" max="1" width="1.85546875" customWidth="1"/>
    <col min="2" max="2" width="36" bestFit="1" customWidth="1"/>
    <col min="3" max="3" width="42.28515625" bestFit="1" customWidth="1"/>
    <col min="4" max="4" width="10" customWidth="1"/>
    <col min="5" max="5" width="32.5703125" customWidth="1"/>
    <col min="6" max="6" width="32.5703125" bestFit="1" customWidth="1"/>
    <col min="17" max="17" width="12.140625" bestFit="1" customWidth="1"/>
  </cols>
  <sheetData>
    <row r="1" spans="2:6" x14ac:dyDescent="0.25">
      <c r="B1" s="176" t="s">
        <v>200</v>
      </c>
      <c r="C1" s="176"/>
      <c r="D1" s="176"/>
      <c r="E1" s="176"/>
      <c r="F1" s="176"/>
    </row>
    <row r="2" spans="2:6" x14ac:dyDescent="0.25">
      <c r="B2" s="176"/>
      <c r="C2" s="176"/>
      <c r="D2" s="176"/>
      <c r="E2" s="176"/>
      <c r="F2" s="176"/>
    </row>
    <row r="3" spans="2:6" s="25" customFormat="1" x14ac:dyDescent="0.25">
      <c r="B3" s="126"/>
      <c r="C3" s="126"/>
      <c r="D3" s="126"/>
      <c r="E3" s="126"/>
      <c r="F3" s="126"/>
    </row>
    <row r="4" spans="2:6" x14ac:dyDescent="0.25">
      <c r="B4" s="169" t="s">
        <v>204</v>
      </c>
      <c r="C4" s="169"/>
      <c r="E4" s="170" t="s">
        <v>214</v>
      </c>
      <c r="F4" s="170"/>
    </row>
    <row r="5" spans="2:6" x14ac:dyDescent="0.25">
      <c r="B5" s="130" t="s">
        <v>201</v>
      </c>
      <c r="C5" s="131" t="s">
        <v>205</v>
      </c>
      <c r="E5" s="59" t="s">
        <v>201</v>
      </c>
      <c r="F5" s="82" t="s">
        <v>205</v>
      </c>
    </row>
    <row r="6" spans="2:6" x14ac:dyDescent="0.25">
      <c r="B6" s="62" t="s">
        <v>31</v>
      </c>
      <c r="C6" s="124">
        <v>100000</v>
      </c>
      <c r="E6" s="62" t="s">
        <v>31</v>
      </c>
      <c r="F6" s="124">
        <v>100000</v>
      </c>
    </row>
    <row r="7" spans="2:6" x14ac:dyDescent="0.25">
      <c r="B7" s="62" t="s">
        <v>202</v>
      </c>
      <c r="C7" s="125">
        <v>8.7999999999999995E-2</v>
      </c>
      <c r="E7" s="62" t="s">
        <v>202</v>
      </c>
      <c r="F7" s="125">
        <v>9.2999999999999999E-2</v>
      </c>
    </row>
    <row r="8" spans="2:6" x14ac:dyDescent="0.25">
      <c r="B8" s="62" t="s">
        <v>203</v>
      </c>
      <c r="C8" s="122" t="s">
        <v>206</v>
      </c>
      <c r="E8" s="62" t="s">
        <v>203</v>
      </c>
      <c r="F8" s="122" t="s">
        <v>225</v>
      </c>
    </row>
    <row r="9" spans="2:6" x14ac:dyDescent="0.25">
      <c r="B9" s="62" t="s">
        <v>198</v>
      </c>
      <c r="C9" s="120" t="s">
        <v>207</v>
      </c>
      <c r="E9" s="62" t="s">
        <v>198</v>
      </c>
      <c r="F9" s="120" t="s">
        <v>215</v>
      </c>
    </row>
    <row r="10" spans="2:6" x14ac:dyDescent="0.25">
      <c r="B10" s="62" t="s">
        <v>199</v>
      </c>
      <c r="C10" s="121">
        <v>9.1499999999999998E-2</v>
      </c>
      <c r="E10" s="62" t="s">
        <v>199</v>
      </c>
      <c r="F10" s="121">
        <v>9.35E-2</v>
      </c>
    </row>
    <row r="11" spans="2:6" x14ac:dyDescent="0.25">
      <c r="B11" s="62" t="s">
        <v>208</v>
      </c>
      <c r="C11" s="123" t="s">
        <v>209</v>
      </c>
      <c r="E11" s="62" t="s">
        <v>208</v>
      </c>
      <c r="F11" s="123" t="s">
        <v>209</v>
      </c>
    </row>
    <row r="12" spans="2:6" x14ac:dyDescent="0.25">
      <c r="B12" s="62" t="s">
        <v>210</v>
      </c>
      <c r="C12" s="122" t="s">
        <v>211</v>
      </c>
      <c r="E12" s="62" t="s">
        <v>210</v>
      </c>
      <c r="F12" s="122" t="s">
        <v>216</v>
      </c>
    </row>
    <row r="13" spans="2:6" x14ac:dyDescent="0.25">
      <c r="B13" s="62" t="s">
        <v>212</v>
      </c>
      <c r="C13" s="122" t="s">
        <v>213</v>
      </c>
      <c r="E13" s="62" t="s">
        <v>212</v>
      </c>
      <c r="F13" s="122" t="s">
        <v>213</v>
      </c>
    </row>
    <row r="15" spans="2:6" x14ac:dyDescent="0.25">
      <c r="B15" s="129" t="s">
        <v>234</v>
      </c>
      <c r="C15" s="129" t="s">
        <v>235</v>
      </c>
    </row>
    <row r="16" spans="2:6" x14ac:dyDescent="0.25">
      <c r="B16" s="2" t="s">
        <v>226</v>
      </c>
      <c r="C16" t="s">
        <v>227</v>
      </c>
    </row>
    <row r="17" spans="2:6" x14ac:dyDescent="0.25">
      <c r="B17" s="2" t="s">
        <v>228</v>
      </c>
      <c r="C17" t="s">
        <v>233</v>
      </c>
    </row>
    <row r="18" spans="2:6" x14ac:dyDescent="0.25">
      <c r="B18" s="2" t="s">
        <v>229</v>
      </c>
      <c r="C18" t="s">
        <v>230</v>
      </c>
    </row>
    <row r="19" spans="2:6" ht="15.75" customHeight="1" x14ac:dyDescent="0.25">
      <c r="B19" s="128" t="s">
        <v>231</v>
      </c>
      <c r="C19" s="127" t="s">
        <v>232</v>
      </c>
    </row>
    <row r="20" spans="2:6" ht="15.75" customHeight="1" x14ac:dyDescent="0.25">
      <c r="B20" s="128"/>
      <c r="C20" s="127"/>
    </row>
    <row r="21" spans="2:6" ht="15.75" customHeight="1" x14ac:dyDescent="0.25">
      <c r="B21" s="128"/>
      <c r="C21" s="127"/>
    </row>
    <row r="22" spans="2:6" x14ac:dyDescent="0.25">
      <c r="B22" s="170" t="s">
        <v>217</v>
      </c>
      <c r="C22" s="170"/>
      <c r="E22" s="170" t="s">
        <v>222</v>
      </c>
      <c r="F22" s="170"/>
    </row>
    <row r="23" spans="2:6" x14ac:dyDescent="0.25">
      <c r="B23" s="59" t="s">
        <v>201</v>
      </c>
      <c r="C23" s="82" t="s">
        <v>205</v>
      </c>
      <c r="E23" s="59" t="s">
        <v>201</v>
      </c>
      <c r="F23" s="82" t="s">
        <v>205</v>
      </c>
    </row>
    <row r="24" spans="2:6" x14ac:dyDescent="0.25">
      <c r="B24" s="62" t="s">
        <v>31</v>
      </c>
      <c r="C24" s="124">
        <v>10000</v>
      </c>
      <c r="E24" s="62" t="s">
        <v>31</v>
      </c>
      <c r="F24" s="124">
        <v>10000</v>
      </c>
    </row>
    <row r="25" spans="2:6" x14ac:dyDescent="0.25">
      <c r="B25" s="62" t="s">
        <v>202</v>
      </c>
      <c r="C25" s="125">
        <v>0.10299999999999999</v>
      </c>
      <c r="E25" s="62" t="s">
        <v>202</v>
      </c>
      <c r="F25" s="125">
        <v>9.6500000000000002E-2</v>
      </c>
    </row>
    <row r="26" spans="2:6" x14ac:dyDescent="0.25">
      <c r="B26" s="62" t="s">
        <v>203</v>
      </c>
      <c r="C26" s="122" t="s">
        <v>218</v>
      </c>
      <c r="E26" s="62" t="s">
        <v>203</v>
      </c>
      <c r="F26" s="122" t="s">
        <v>224</v>
      </c>
    </row>
    <row r="27" spans="2:6" x14ac:dyDescent="0.25">
      <c r="B27" s="62" t="s">
        <v>198</v>
      </c>
      <c r="C27" s="120">
        <v>9992.1299999999992</v>
      </c>
      <c r="E27" s="62" t="s">
        <v>198</v>
      </c>
      <c r="F27" s="120">
        <v>9829.89</v>
      </c>
    </row>
    <row r="28" spans="2:6" x14ac:dyDescent="0.25">
      <c r="B28" s="62" t="s">
        <v>199</v>
      </c>
      <c r="C28" s="121">
        <v>0.11</v>
      </c>
      <c r="E28" s="62" t="s">
        <v>199</v>
      </c>
      <c r="F28" s="121">
        <v>0.1105</v>
      </c>
    </row>
    <row r="29" spans="2:6" x14ac:dyDescent="0.25">
      <c r="B29" s="62" t="s">
        <v>208</v>
      </c>
      <c r="C29" s="123" t="s">
        <v>221</v>
      </c>
      <c r="E29" s="62" t="s">
        <v>208</v>
      </c>
      <c r="F29" s="123" t="s">
        <v>221</v>
      </c>
    </row>
    <row r="30" spans="2:6" x14ac:dyDescent="0.25">
      <c r="B30" s="62" t="s">
        <v>210</v>
      </c>
      <c r="C30" s="122" t="s">
        <v>219</v>
      </c>
      <c r="E30" s="62" t="s">
        <v>210</v>
      </c>
      <c r="F30" s="122" t="s">
        <v>223</v>
      </c>
    </row>
    <row r="31" spans="2:6" x14ac:dyDescent="0.25">
      <c r="B31" s="62" t="s">
        <v>212</v>
      </c>
      <c r="C31" s="122" t="s">
        <v>220</v>
      </c>
      <c r="E31" s="62" t="s">
        <v>212</v>
      </c>
      <c r="F31" s="122" t="s">
        <v>220</v>
      </c>
    </row>
    <row r="34" spans="2:3" x14ac:dyDescent="0.25">
      <c r="B34" s="129" t="s">
        <v>234</v>
      </c>
      <c r="C34" s="129" t="s">
        <v>236</v>
      </c>
    </row>
    <row r="35" spans="2:3" x14ac:dyDescent="0.25">
      <c r="B35" s="2" t="s">
        <v>240</v>
      </c>
      <c r="C35" t="s">
        <v>237</v>
      </c>
    </row>
    <row r="36" spans="2:3" x14ac:dyDescent="0.25">
      <c r="B36" s="2" t="s">
        <v>241</v>
      </c>
      <c r="C36" t="s">
        <v>238</v>
      </c>
    </row>
    <row r="37" spans="2:3" x14ac:dyDescent="0.25">
      <c r="B37" s="2" t="s">
        <v>242</v>
      </c>
      <c r="C37" t="s">
        <v>244</v>
      </c>
    </row>
    <row r="38" spans="2:3" x14ac:dyDescent="0.25">
      <c r="B38" s="128" t="s">
        <v>243</v>
      </c>
      <c r="C38" s="127" t="s">
        <v>239</v>
      </c>
    </row>
  </sheetData>
  <sheetProtection algorithmName="SHA-512" hashValue="z0ZsaR70x4RsB3FEs/8zdJoxEyGm35Db/D7K5yxD6/LCHWNSMJ9CRFCgsvt4bFGTz+0SzT03WmfnMmI6F7GQFQ==" saltValue="9JPbFJe3zerlbaBfBu3Q/g==" spinCount="100000" sheet="1" objects="1" scenarios="1"/>
  <mergeCells count="5">
    <mergeCell ref="B1:F2"/>
    <mergeCell ref="B4:C4"/>
    <mergeCell ref="E4:F4"/>
    <mergeCell ref="B22:C22"/>
    <mergeCell ref="E22:F22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96F0-E7D0-40BB-8FB2-0F05320BDB04}">
  <dimension ref="B1:F15"/>
  <sheetViews>
    <sheetView showGridLines="0" workbookViewId="0">
      <selection activeCell="G19" sqref="A1:XFD1048576"/>
    </sheetView>
  </sheetViews>
  <sheetFormatPr defaultRowHeight="15" x14ac:dyDescent="0.25"/>
  <cols>
    <col min="1" max="1" width="1.85546875" customWidth="1"/>
    <col min="2" max="2" width="17" bestFit="1" customWidth="1"/>
    <col min="3" max="3" width="27" bestFit="1" customWidth="1"/>
    <col min="4" max="4" width="12" bestFit="1" customWidth="1"/>
    <col min="5" max="5" width="10.7109375" bestFit="1" customWidth="1"/>
    <col min="6" max="6" width="31.5703125" customWidth="1"/>
  </cols>
  <sheetData>
    <row r="1" spans="2:6" x14ac:dyDescent="0.25">
      <c r="B1" s="177" t="s">
        <v>273</v>
      </c>
      <c r="C1" s="177"/>
      <c r="D1" s="177"/>
      <c r="E1" s="177"/>
      <c r="F1" s="177"/>
    </row>
    <row r="2" spans="2:6" x14ac:dyDescent="0.25">
      <c r="B2" s="177"/>
      <c r="C2" s="177"/>
      <c r="D2" s="177"/>
      <c r="E2" s="177"/>
      <c r="F2" s="177"/>
    </row>
    <row r="3" spans="2:6" x14ac:dyDescent="0.25">
      <c r="B3" s="135" t="s">
        <v>245</v>
      </c>
      <c r="C3" s="135" t="s">
        <v>246</v>
      </c>
      <c r="D3" s="82" t="s">
        <v>247</v>
      </c>
      <c r="E3" s="82" t="s">
        <v>249</v>
      </c>
      <c r="F3" s="147" t="s">
        <v>248</v>
      </c>
    </row>
    <row r="4" spans="2:6" x14ac:dyDescent="0.25">
      <c r="B4" s="132"/>
      <c r="F4" s="57"/>
    </row>
    <row r="5" spans="2:6" x14ac:dyDescent="0.25">
      <c r="B5" s="178" t="s">
        <v>250</v>
      </c>
      <c r="C5" s="142" t="s">
        <v>251</v>
      </c>
      <c r="D5" s="143">
        <v>0.1</v>
      </c>
      <c r="E5" s="144">
        <v>100000</v>
      </c>
      <c r="F5" s="145" t="s">
        <v>252</v>
      </c>
    </row>
    <row r="6" spans="2:6" x14ac:dyDescent="0.25">
      <c r="B6" s="179"/>
      <c r="C6" s="20" t="s">
        <v>253</v>
      </c>
      <c r="D6" s="133">
        <v>0.2</v>
      </c>
      <c r="E6" s="134">
        <v>200000</v>
      </c>
      <c r="F6" s="57" t="s">
        <v>254</v>
      </c>
    </row>
    <row r="7" spans="2:6" x14ac:dyDescent="0.25">
      <c r="B7" s="180"/>
      <c r="C7" s="44" t="s">
        <v>269</v>
      </c>
      <c r="D7" s="136">
        <v>0.1</v>
      </c>
      <c r="E7" s="137">
        <v>100000</v>
      </c>
      <c r="F7" s="146" t="s">
        <v>270</v>
      </c>
    </row>
    <row r="8" spans="2:6" x14ac:dyDescent="0.25">
      <c r="B8" s="119" t="s">
        <v>255</v>
      </c>
      <c r="C8" s="20" t="s">
        <v>256</v>
      </c>
      <c r="D8" s="133">
        <v>0.2</v>
      </c>
      <c r="E8" s="134">
        <v>200000</v>
      </c>
      <c r="F8" s="57" t="s">
        <v>257</v>
      </c>
    </row>
    <row r="9" spans="2:6" x14ac:dyDescent="0.25">
      <c r="B9" s="119" t="s">
        <v>258</v>
      </c>
      <c r="C9" s="20" t="s">
        <v>259</v>
      </c>
      <c r="D9" s="133">
        <v>0.1</v>
      </c>
      <c r="E9" s="134">
        <v>100000</v>
      </c>
      <c r="F9" s="57" t="s">
        <v>260</v>
      </c>
    </row>
    <row r="10" spans="2:6" x14ac:dyDescent="0.25">
      <c r="B10" s="119" t="s">
        <v>261</v>
      </c>
      <c r="C10" s="20" t="s">
        <v>271</v>
      </c>
      <c r="D10" s="133">
        <v>0.15</v>
      </c>
      <c r="E10" s="134">
        <v>150000</v>
      </c>
      <c r="F10" s="57" t="s">
        <v>262</v>
      </c>
    </row>
    <row r="11" spans="2:6" x14ac:dyDescent="0.25">
      <c r="B11" s="119" t="s">
        <v>263</v>
      </c>
      <c r="C11" s="20" t="s">
        <v>264</v>
      </c>
      <c r="D11" s="133">
        <v>0.05</v>
      </c>
      <c r="E11" s="134">
        <v>50000</v>
      </c>
      <c r="F11" s="57" t="s">
        <v>265</v>
      </c>
    </row>
    <row r="12" spans="2:6" x14ac:dyDescent="0.25">
      <c r="B12" s="119" t="s">
        <v>266</v>
      </c>
      <c r="C12" s="20" t="s">
        <v>267</v>
      </c>
      <c r="D12" s="133">
        <v>0.1</v>
      </c>
      <c r="E12" s="134">
        <v>100000</v>
      </c>
      <c r="F12" s="57" t="s">
        <v>268</v>
      </c>
    </row>
    <row r="13" spans="2:6" x14ac:dyDescent="0.25">
      <c r="B13" s="20"/>
      <c r="C13" s="20"/>
      <c r="D13" s="133"/>
      <c r="E13" s="134"/>
      <c r="F13" s="57"/>
    </row>
    <row r="14" spans="2:6" ht="15.75" thickBot="1" x14ac:dyDescent="0.3">
      <c r="B14" s="138" t="s">
        <v>272</v>
      </c>
      <c r="C14" s="138" t="s">
        <v>26</v>
      </c>
      <c r="D14" s="139">
        <f>SUM(D5:D12)</f>
        <v>1.0000000000000002</v>
      </c>
      <c r="E14" s="140">
        <f>SUM(E5:E12)</f>
        <v>1000000</v>
      </c>
      <c r="F14" s="141"/>
    </row>
    <row r="15" spans="2:6" ht="15.75" thickTop="1" x14ac:dyDescent="0.25"/>
  </sheetData>
  <sheetProtection algorithmName="SHA-512" hashValue="IJrkhwTE8UrpR1e9nFbuwEQKiFS5Rp3nAMshBbtw/FRIgH0WSVeG1nZOG9PE1E5TlTFSkCWpTZIKQCO1zQaZOg==" saltValue="T8n8eBjgMEWA7EPYCD+xVA==" spinCount="100000" sheet="1" objects="1" scenarios="1"/>
  <mergeCells count="2">
    <mergeCell ref="B1:F2"/>
    <mergeCell ref="B5:B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DAF1-4D89-4567-A441-977B072530C8}">
  <dimension ref="B1:O27"/>
  <sheetViews>
    <sheetView showGridLines="0" topLeftCell="A5" workbookViewId="0">
      <selection activeCell="G20" sqref="G20"/>
    </sheetView>
  </sheetViews>
  <sheetFormatPr defaultRowHeight="15" x14ac:dyDescent="0.25"/>
  <cols>
    <col min="1" max="1" width="1.85546875" customWidth="1"/>
    <col min="2" max="2" width="17.85546875" bestFit="1" customWidth="1"/>
    <col min="3" max="3" width="9.7109375" bestFit="1" customWidth="1"/>
    <col min="4" max="4" width="10.7109375" customWidth="1"/>
    <col min="5" max="5" width="10.7109375" bestFit="1" customWidth="1"/>
    <col min="6" max="6" width="10.7109375" customWidth="1"/>
    <col min="7" max="7" width="18.5703125" bestFit="1" customWidth="1"/>
    <col min="8" max="10" width="9.7109375" bestFit="1" customWidth="1"/>
    <col min="11" max="11" width="10.7109375" customWidth="1"/>
    <col min="12" max="12" width="18.5703125" bestFit="1" customWidth="1"/>
    <col min="13" max="15" width="9.7109375" bestFit="1" customWidth="1"/>
  </cols>
  <sheetData>
    <row r="1" spans="2:15" x14ac:dyDescent="0.25">
      <c r="B1" s="182" t="s">
        <v>290</v>
      </c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2:15" x14ac:dyDescent="0.25"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</row>
    <row r="4" spans="2:15" x14ac:dyDescent="0.25">
      <c r="B4" s="181" t="s">
        <v>283</v>
      </c>
      <c r="C4" s="181"/>
      <c r="D4" s="181"/>
      <c r="E4" s="181"/>
      <c r="G4" s="181" t="s">
        <v>288</v>
      </c>
      <c r="H4" s="181"/>
      <c r="I4" s="181"/>
      <c r="J4" s="181"/>
      <c r="L4" s="181" t="s">
        <v>289</v>
      </c>
      <c r="M4" s="181"/>
      <c r="N4" s="181"/>
      <c r="O4" s="181"/>
    </row>
    <row r="5" spans="2:15" s="25" customFormat="1" x14ac:dyDescent="0.25">
      <c r="B5" s="29"/>
      <c r="C5" s="29"/>
      <c r="D5" s="29"/>
      <c r="E5" s="29"/>
      <c r="G5" s="29"/>
      <c r="H5" s="29"/>
      <c r="I5" s="29"/>
      <c r="J5" s="29"/>
      <c r="L5" s="29"/>
      <c r="M5" s="29"/>
      <c r="N5" s="29"/>
      <c r="O5" s="29"/>
    </row>
    <row r="6" spans="2:15" x14ac:dyDescent="0.25">
      <c r="B6" s="150" t="s">
        <v>281</v>
      </c>
      <c r="C6" s="150">
        <v>44986</v>
      </c>
      <c r="D6" s="150">
        <v>45352</v>
      </c>
      <c r="E6" s="150">
        <v>45717</v>
      </c>
      <c r="G6" s="150" t="s">
        <v>281</v>
      </c>
      <c r="H6" s="150">
        <v>44986</v>
      </c>
      <c r="I6" s="150">
        <v>45352</v>
      </c>
      <c r="J6" s="150">
        <v>45717</v>
      </c>
      <c r="L6" s="150" t="s">
        <v>281</v>
      </c>
      <c r="M6" s="150">
        <v>44986</v>
      </c>
      <c r="N6" s="150">
        <v>45352</v>
      </c>
      <c r="O6" s="150">
        <v>45717</v>
      </c>
    </row>
    <row r="7" spans="2:15" x14ac:dyDescent="0.25">
      <c r="B7" s="148" t="s">
        <v>278</v>
      </c>
      <c r="C7" s="151">
        <v>146767</v>
      </c>
      <c r="D7" s="151">
        <v>153670</v>
      </c>
      <c r="E7" s="151">
        <v>162990</v>
      </c>
      <c r="G7" s="148" t="s">
        <v>278</v>
      </c>
      <c r="H7" s="151">
        <v>170754</v>
      </c>
      <c r="I7" s="151">
        <v>283649</v>
      </c>
      <c r="J7" s="151">
        <v>336367</v>
      </c>
      <c r="L7" s="148" t="s">
        <v>278</v>
      </c>
      <c r="M7" s="151">
        <v>138252</v>
      </c>
      <c r="N7" s="151">
        <v>144762</v>
      </c>
      <c r="O7" s="151">
        <v>143369</v>
      </c>
    </row>
    <row r="8" spans="2:15" x14ac:dyDescent="0.25">
      <c r="B8" s="148" t="s">
        <v>279</v>
      </c>
      <c r="C8" s="151">
        <v>111637</v>
      </c>
      <c r="D8" s="151">
        <v>117245</v>
      </c>
      <c r="E8" s="151">
        <v>123754</v>
      </c>
      <c r="G8" s="148" t="s">
        <v>279</v>
      </c>
      <c r="H8" s="151">
        <v>77780</v>
      </c>
      <c r="I8" s="151">
        <v>154139</v>
      </c>
      <c r="J8" s="151">
        <v>183894</v>
      </c>
      <c r="L8" s="148" t="s">
        <v>279</v>
      </c>
      <c r="M8" s="151">
        <v>94020</v>
      </c>
      <c r="N8" s="151">
        <v>96791</v>
      </c>
      <c r="O8" s="151">
        <v>96305</v>
      </c>
    </row>
    <row r="9" spans="2:15" x14ac:dyDescent="0.25">
      <c r="B9" s="148" t="s">
        <v>8</v>
      </c>
      <c r="C9" s="151">
        <v>35130</v>
      </c>
      <c r="D9" s="151">
        <v>36425</v>
      </c>
      <c r="E9" s="151">
        <v>39236</v>
      </c>
      <c r="G9" s="148" t="s">
        <v>8</v>
      </c>
      <c r="H9" s="151">
        <v>63042</v>
      </c>
      <c r="I9" s="151">
        <v>174196</v>
      </c>
      <c r="J9" s="151">
        <v>186974</v>
      </c>
      <c r="L9" s="148" t="s">
        <v>8</v>
      </c>
      <c r="M9" s="151">
        <v>44232</v>
      </c>
      <c r="N9" s="151">
        <v>47971</v>
      </c>
      <c r="O9" s="151">
        <v>47064</v>
      </c>
    </row>
    <row r="10" spans="2:15" x14ac:dyDescent="0.25">
      <c r="B10" s="148" t="s">
        <v>274</v>
      </c>
      <c r="C10" s="151">
        <v>0.24</v>
      </c>
      <c r="D10" s="151">
        <v>0.24</v>
      </c>
      <c r="E10" s="151">
        <v>0.24</v>
      </c>
      <c r="G10" s="148" t="s">
        <v>274</v>
      </c>
      <c r="H10" s="151">
        <v>29932</v>
      </c>
      <c r="I10" s="151">
        <v>-44685</v>
      </c>
      <c r="J10" s="151">
        <v>-34501</v>
      </c>
      <c r="L10" s="148" t="s">
        <v>274</v>
      </c>
      <c r="M10" s="151">
        <v>0.32</v>
      </c>
      <c r="N10" s="151">
        <v>0.33</v>
      </c>
      <c r="O10" s="151">
        <v>0.33</v>
      </c>
    </row>
    <row r="11" spans="2:15" x14ac:dyDescent="0.25">
      <c r="B11" s="148" t="s">
        <v>280</v>
      </c>
      <c r="C11" s="151">
        <v>2701</v>
      </c>
      <c r="D11" s="151">
        <v>4711</v>
      </c>
      <c r="E11" s="151">
        <v>3600</v>
      </c>
      <c r="G11" s="148" t="s">
        <v>280</v>
      </c>
      <c r="H11" s="151">
        <v>0.18</v>
      </c>
      <c r="I11" s="151">
        <v>-0.16</v>
      </c>
      <c r="J11" s="151">
        <v>-0.1</v>
      </c>
      <c r="L11" s="148" t="s">
        <v>280</v>
      </c>
      <c r="M11" s="151">
        <v>6560</v>
      </c>
      <c r="N11" s="151">
        <v>8396</v>
      </c>
      <c r="O11" s="151">
        <v>9932</v>
      </c>
    </row>
    <row r="12" spans="2:15" x14ac:dyDescent="0.25">
      <c r="B12" s="148" t="s">
        <v>11</v>
      </c>
      <c r="C12" s="151">
        <v>284</v>
      </c>
      <c r="D12" s="151">
        <v>470</v>
      </c>
      <c r="E12" s="151">
        <v>416</v>
      </c>
      <c r="G12" s="148" t="s">
        <v>11</v>
      </c>
      <c r="H12" s="151">
        <v>33912</v>
      </c>
      <c r="I12" s="151">
        <v>124346</v>
      </c>
      <c r="J12" s="151">
        <v>134548</v>
      </c>
      <c r="L12" s="148" t="s">
        <v>11</v>
      </c>
      <c r="M12" s="151">
        <v>684</v>
      </c>
      <c r="N12" s="151">
        <v>819</v>
      </c>
      <c r="O12" s="151">
        <v>884</v>
      </c>
    </row>
    <row r="13" spans="2:15" x14ac:dyDescent="0.25">
      <c r="B13" s="148" t="s">
        <v>10</v>
      </c>
      <c r="C13" s="151">
        <v>4225</v>
      </c>
      <c r="D13" s="151">
        <v>4678</v>
      </c>
      <c r="E13" s="151">
        <v>4812</v>
      </c>
      <c r="G13" s="148" t="s">
        <v>10</v>
      </c>
      <c r="H13" s="151">
        <v>2345</v>
      </c>
      <c r="I13" s="151">
        <v>3092</v>
      </c>
      <c r="J13" s="151">
        <v>3805</v>
      </c>
      <c r="L13" s="148" t="s">
        <v>10</v>
      </c>
      <c r="M13" s="151">
        <v>6833</v>
      </c>
      <c r="N13" s="151">
        <v>6735</v>
      </c>
      <c r="O13" s="151">
        <v>9145</v>
      </c>
    </row>
    <row r="14" spans="2:15" x14ac:dyDescent="0.25">
      <c r="B14" s="148" t="s">
        <v>12</v>
      </c>
      <c r="C14" s="151">
        <v>33322</v>
      </c>
      <c r="D14" s="151">
        <v>35988</v>
      </c>
      <c r="E14" s="151">
        <v>37608</v>
      </c>
      <c r="G14" s="148" t="s">
        <v>12</v>
      </c>
      <c r="H14" s="151">
        <v>61498</v>
      </c>
      <c r="I14" s="151">
        <v>76569</v>
      </c>
      <c r="J14" s="151">
        <v>96242</v>
      </c>
      <c r="L14" s="148" t="s">
        <v>12</v>
      </c>
      <c r="M14" s="151">
        <v>43275</v>
      </c>
      <c r="N14" s="151">
        <v>48813</v>
      </c>
      <c r="O14" s="151">
        <v>46966</v>
      </c>
    </row>
    <row r="15" spans="2:15" ht="15.75" thickBot="1" x14ac:dyDescent="0.3">
      <c r="B15" s="148" t="s">
        <v>275</v>
      </c>
      <c r="C15" s="151">
        <v>0.28000000000000003</v>
      </c>
      <c r="D15" s="151">
        <v>0.27</v>
      </c>
      <c r="E15" s="151">
        <v>0.28999999999999998</v>
      </c>
      <c r="G15" s="148" t="s">
        <v>275</v>
      </c>
      <c r="H15" s="151">
        <v>0.25</v>
      </c>
      <c r="I15" s="151">
        <v>0.15</v>
      </c>
      <c r="J15" s="151">
        <v>0.24</v>
      </c>
      <c r="L15" s="148" t="s">
        <v>275</v>
      </c>
      <c r="M15" s="151">
        <v>0.27</v>
      </c>
      <c r="N15" s="151">
        <v>0.23</v>
      </c>
      <c r="O15" s="151">
        <v>0.25</v>
      </c>
    </row>
    <row r="16" spans="2:15" ht="16.5" thickTop="1" thickBot="1" x14ac:dyDescent="0.3">
      <c r="B16" s="155" t="s">
        <v>284</v>
      </c>
      <c r="C16" s="156">
        <v>24108</v>
      </c>
      <c r="D16" s="156">
        <v>26248</v>
      </c>
      <c r="E16" s="156">
        <v>26750</v>
      </c>
      <c r="G16" s="155" t="s">
        <v>284</v>
      </c>
      <c r="H16" s="156">
        <v>46149</v>
      </c>
      <c r="I16" s="156">
        <v>65446</v>
      </c>
      <c r="J16" s="156">
        <v>73440</v>
      </c>
      <c r="L16" s="155" t="s">
        <v>284</v>
      </c>
      <c r="M16" s="156">
        <v>31723</v>
      </c>
      <c r="N16" s="156">
        <v>37369</v>
      </c>
      <c r="O16" s="156">
        <v>35302</v>
      </c>
    </row>
    <row r="17" spans="2:15" ht="15.75" thickTop="1" x14ac:dyDescent="0.25">
      <c r="B17" s="148"/>
      <c r="C17" s="151"/>
      <c r="D17" s="151"/>
      <c r="E17" s="151"/>
      <c r="G17" s="148"/>
      <c r="H17" s="151"/>
      <c r="I17" s="151"/>
      <c r="J17" s="151"/>
      <c r="L17" s="148"/>
      <c r="M17" s="151"/>
      <c r="N17" s="151"/>
      <c r="O17" s="151"/>
    </row>
    <row r="18" spans="2:15" x14ac:dyDescent="0.25">
      <c r="B18" s="148" t="s">
        <v>285</v>
      </c>
      <c r="C18" s="151">
        <v>413.8</v>
      </c>
      <c r="D18" s="151">
        <v>414.2</v>
      </c>
      <c r="E18" s="151">
        <v>414.6</v>
      </c>
      <c r="G18" s="159" t="s">
        <v>285</v>
      </c>
      <c r="H18" s="159">
        <v>760</v>
      </c>
      <c r="I18" s="159">
        <v>765</v>
      </c>
      <c r="J18" s="84">
        <v>1536</v>
      </c>
      <c r="L18" s="148" t="s">
        <v>285</v>
      </c>
      <c r="M18" s="148">
        <v>616.29999999999995</v>
      </c>
      <c r="N18" s="148">
        <v>616.29999999999995</v>
      </c>
      <c r="O18" s="148">
        <v>616.29999999999995</v>
      </c>
    </row>
    <row r="19" spans="2:15" x14ac:dyDescent="0.25">
      <c r="B19" s="148" t="s">
        <v>276</v>
      </c>
      <c r="C19" s="151">
        <v>58.08</v>
      </c>
      <c r="D19" s="151">
        <v>63.2</v>
      </c>
      <c r="E19" s="151">
        <v>64.319999999999993</v>
      </c>
      <c r="G19" s="159" t="s">
        <v>276</v>
      </c>
      <c r="H19" s="160">
        <v>58.08</v>
      </c>
      <c r="I19" s="160">
        <v>63.2</v>
      </c>
      <c r="J19" s="160">
        <v>64.319999999999993</v>
      </c>
      <c r="L19" s="148" t="s">
        <v>276</v>
      </c>
      <c r="M19" s="151">
        <v>58.08</v>
      </c>
      <c r="N19" s="151">
        <v>63.2</v>
      </c>
      <c r="O19" s="151">
        <v>64.319999999999993</v>
      </c>
    </row>
    <row r="20" spans="2:15" x14ac:dyDescent="0.25">
      <c r="B20" s="148" t="s">
        <v>282</v>
      </c>
      <c r="C20" s="151">
        <v>13653</v>
      </c>
      <c r="D20" s="151">
        <v>14731</v>
      </c>
      <c r="E20" s="151">
        <v>20289</v>
      </c>
      <c r="G20" s="159" t="s">
        <v>287</v>
      </c>
      <c r="H20" s="84">
        <v>8605</v>
      </c>
      <c r="I20" s="84">
        <v>8404</v>
      </c>
      <c r="J20" s="84">
        <v>14826</v>
      </c>
      <c r="L20" s="148" t="s">
        <v>287</v>
      </c>
      <c r="M20" s="149">
        <v>14328</v>
      </c>
      <c r="N20" s="149">
        <v>15098</v>
      </c>
      <c r="O20" s="149">
        <v>16239</v>
      </c>
    </row>
    <row r="21" spans="2:15" x14ac:dyDescent="0.25">
      <c r="B21" s="148"/>
      <c r="C21" s="81"/>
      <c r="D21" s="81"/>
      <c r="E21" s="81"/>
      <c r="G21" s="148"/>
      <c r="H21" s="81"/>
      <c r="I21" s="81"/>
      <c r="J21" s="81"/>
      <c r="L21" s="148"/>
      <c r="M21" s="81"/>
      <c r="N21" s="81"/>
      <c r="O21" s="81"/>
    </row>
    <row r="22" spans="2:15" x14ac:dyDescent="0.25">
      <c r="B22" s="51" t="s">
        <v>108</v>
      </c>
      <c r="C22" s="56" t="s">
        <v>109</v>
      </c>
      <c r="D22" s="48">
        <f>D19/C19-1</f>
        <v>8.8154269972451793E-2</v>
      </c>
      <c r="E22" s="48">
        <f t="shared" ref="E22" si="0">E19/D19-1</f>
        <v>1.7721518987341645E-2</v>
      </c>
      <c r="G22" s="51" t="s">
        <v>108</v>
      </c>
      <c r="H22" s="56" t="s">
        <v>109</v>
      </c>
      <c r="I22" s="48">
        <f>I19/H19-1</f>
        <v>8.8154269972451793E-2</v>
      </c>
      <c r="J22" s="48">
        <f t="shared" ref="J22" si="1">J19/I19-1</f>
        <v>1.7721518987341645E-2</v>
      </c>
      <c r="L22" s="51" t="s">
        <v>108</v>
      </c>
      <c r="M22" s="56" t="s">
        <v>109</v>
      </c>
      <c r="N22" s="48">
        <f>N19/M19-1</f>
        <v>8.8154269972451793E-2</v>
      </c>
      <c r="O22" s="48">
        <f t="shared" ref="O22" si="2">O19/N19-1</f>
        <v>1.7721518987341645E-2</v>
      </c>
    </row>
    <row r="23" spans="2:15" x14ac:dyDescent="0.25">
      <c r="B23" s="119"/>
      <c r="D23" s="111"/>
      <c r="E23" s="111"/>
      <c r="G23" s="119"/>
      <c r="I23" s="111"/>
      <c r="J23" s="111"/>
      <c r="L23" s="119"/>
      <c r="N23" s="111"/>
      <c r="O23" s="111"/>
    </row>
    <row r="24" spans="2:15" x14ac:dyDescent="0.25">
      <c r="B24" s="66" t="s">
        <v>286</v>
      </c>
      <c r="C24" s="154">
        <f>C20/C18</f>
        <v>32.994200096665054</v>
      </c>
      <c r="D24" s="154">
        <f t="shared" ref="D24:E24" si="3">D20/D18</f>
        <v>35.564944471269918</v>
      </c>
      <c r="E24" s="154">
        <f t="shared" si="3"/>
        <v>48.936324167872648</v>
      </c>
      <c r="G24" s="66" t="s">
        <v>286</v>
      </c>
      <c r="H24" s="154">
        <f>H20/H18</f>
        <v>11.322368421052632</v>
      </c>
      <c r="I24" s="154">
        <f t="shared" ref="I24:J24" si="4">I20/I18</f>
        <v>10.98562091503268</v>
      </c>
      <c r="J24" s="154">
        <f t="shared" si="4"/>
        <v>9.65234375</v>
      </c>
      <c r="L24" s="66" t="s">
        <v>286</v>
      </c>
      <c r="M24" s="154">
        <f>M20/M18</f>
        <v>23.248417978257343</v>
      </c>
      <c r="N24" s="154">
        <f t="shared" ref="N24:O24" si="5">N20/N18</f>
        <v>24.497809508356323</v>
      </c>
      <c r="O24" s="154">
        <f t="shared" si="5"/>
        <v>26.349180593866624</v>
      </c>
    </row>
    <row r="25" spans="2:15" ht="15.75" thickBot="1" x14ac:dyDescent="0.3"/>
    <row r="26" spans="2:15" x14ac:dyDescent="0.25">
      <c r="B26" s="157" t="s">
        <v>277</v>
      </c>
      <c r="C26" s="158">
        <f>C20/C16</f>
        <v>0.56632653061224492</v>
      </c>
      <c r="D26" s="158">
        <f>D20/D16</f>
        <v>0.56122371228284063</v>
      </c>
      <c r="E26" s="158">
        <f>E20/E16</f>
        <v>0.75846728971962618</v>
      </c>
      <c r="G26" s="157" t="s">
        <v>277</v>
      </c>
      <c r="H26" s="158">
        <f>H20/H16</f>
        <v>0.18646124509740189</v>
      </c>
      <c r="I26" s="158">
        <f>I20/I16</f>
        <v>0.1284112092412065</v>
      </c>
      <c r="J26" s="158">
        <f>J20/J16</f>
        <v>0.20187908496732027</v>
      </c>
      <c r="L26" s="157" t="s">
        <v>277</v>
      </c>
      <c r="M26" s="158">
        <f>M20/M16</f>
        <v>0.45165967909718502</v>
      </c>
      <c r="N26" s="158">
        <f>N20/N16</f>
        <v>0.40402472637747866</v>
      </c>
      <c r="O26" s="158">
        <f>O20/O16</f>
        <v>0.46000226616055745</v>
      </c>
    </row>
    <row r="27" spans="2:15" x14ac:dyDescent="0.25">
      <c r="B27" s="152" t="s">
        <v>111</v>
      </c>
      <c r="C27" s="153">
        <f>1-C26</f>
        <v>0.43367346938775508</v>
      </c>
      <c r="D27" s="153">
        <f t="shared" ref="D27:E27" si="6">1-D26</f>
        <v>0.43877628771715937</v>
      </c>
      <c r="E27" s="153">
        <f t="shared" si="6"/>
        <v>0.24153271028037382</v>
      </c>
      <c r="G27" s="152" t="s">
        <v>111</v>
      </c>
      <c r="H27" s="153">
        <f>1-H26</f>
        <v>0.81353875490259808</v>
      </c>
      <c r="I27" s="153">
        <f t="shared" ref="I27" si="7">1-I26</f>
        <v>0.87158879075879347</v>
      </c>
      <c r="J27" s="153">
        <f t="shared" ref="J27" si="8">1-J26</f>
        <v>0.79812091503267979</v>
      </c>
      <c r="L27" s="152" t="s">
        <v>111</v>
      </c>
      <c r="M27" s="153">
        <f>1-M26</f>
        <v>0.54834032090281504</v>
      </c>
      <c r="N27" s="153">
        <f t="shared" ref="N27" si="9">1-N26</f>
        <v>0.59597527362252134</v>
      </c>
      <c r="O27" s="153">
        <f t="shared" ref="O27" si="10">1-O26</f>
        <v>0.53999773383944261</v>
      </c>
    </row>
  </sheetData>
  <sheetProtection algorithmName="SHA-512" hashValue="VMZFM0/iZ5l/yBN0NunOVDGcRm4FITdvkP7N7N0/2360TO9pvoONyQSPj3J/sOu0xx8Ecy4N1HCm6KIPF56Bhw==" saltValue="5AhmEqFc7VtB8JaGfAqBJQ==" spinCount="100000" sheet="1" objects="1" scenarios="1"/>
  <mergeCells count="4">
    <mergeCell ref="B4:E4"/>
    <mergeCell ref="G4:J4"/>
    <mergeCell ref="L4:O4"/>
    <mergeCell ref="B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Profit &amp; Loss</vt:lpstr>
      <vt:lpstr>Quarters</vt:lpstr>
      <vt:lpstr>Balance Sheet</vt:lpstr>
      <vt:lpstr>Cash Flow</vt:lpstr>
      <vt:lpstr>Customization</vt:lpstr>
      <vt:lpstr>Data Sheet</vt:lpstr>
      <vt:lpstr>DATA FOR WACC</vt:lpstr>
      <vt:lpstr>Common Size Statement</vt:lpstr>
      <vt:lpstr>Capital  Budgeting</vt:lpstr>
      <vt:lpstr>Leverage</vt:lpstr>
      <vt:lpstr>WACC</vt:lpstr>
      <vt:lpstr>Bond Analysis</vt:lpstr>
      <vt:lpstr>Investment Portfolio</vt:lpstr>
      <vt:lpstr>Dividend Analysis</vt:lpstr>
      <vt:lpstr>Stocks__Total_40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Arun komple</cp:lastModifiedBy>
  <cp:lastPrinted>2012-12-06T18:14:13Z</cp:lastPrinted>
  <dcterms:created xsi:type="dcterms:W3CDTF">2012-08-17T09:55:37Z</dcterms:created>
  <dcterms:modified xsi:type="dcterms:W3CDTF">2026-04-19T07:07:36Z</dcterms:modified>
</cp:coreProperties>
</file>