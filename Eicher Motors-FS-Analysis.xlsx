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rank\Desktop\"/>
    </mc:Choice>
  </mc:AlternateContent>
  <xr:revisionPtr revIDLastSave="0" documentId="13_ncr:1_{2CDF6D53-DF2F-4A02-B66C-0DACFC1D5342}" xr6:coauthVersionLast="47" xr6:coauthVersionMax="47" xr10:uidLastSave="{00000000-0000-0000-0000-000000000000}"/>
  <workbookProtection workbookAlgorithmName="SHA-512" workbookHashValue="BSsp3c6yseC7WCMF4/6e5thQ37507eCbdU69vChKrpGe5U+ZUpl3nMUwk1RIWMlSpmBhJ/tzOUsnE3UUaP9yUg==" workbookSaltValue="YT2Js+rQzYJFE3TLmyoRLg==" workbookSpinCount="100000" lockStructure="1"/>
  <bookViews>
    <workbookView xWindow="-120" yWindow="-120" windowWidth="20730" windowHeight="11040" firstSheet="5" activeTab="5" xr2:uid="{00000000-000D-0000-FFFF-FFFF00000000}"/>
  </bookViews>
  <sheets>
    <sheet name="Profit &amp; Loss" sheetId="1" state="hidden" r:id="rId1"/>
    <sheet name="Quarters" sheetId="3" state="hidden" r:id="rId2"/>
    <sheet name="Balance Sheet" sheetId="2" state="hidden" r:id="rId3"/>
    <sheet name="Cash Flow" sheetId="4" state="hidden" r:id="rId4"/>
    <sheet name="Customization" sheetId="5" state="hidden" r:id="rId5"/>
    <sheet name="Data Sheet" sheetId="6" r:id="rId6"/>
    <sheet name="Data" sheetId="20" r:id="rId7"/>
    <sheet name="Cashflow raw data" sheetId="11" r:id="rId8"/>
    <sheet name="Rm calculation " sheetId="19" r:id="rId9"/>
    <sheet name="Raw Data" sheetId="9" r:id="rId10"/>
    <sheet name="Ratio Analysis" sheetId="12" r:id="rId11"/>
    <sheet name="Forcasting" sheetId="13" r:id="rId12"/>
    <sheet name="WACC" sheetId="21" r:id="rId13"/>
    <sheet name="Intrinsic Rate" sheetId="14" r:id="rId14"/>
    <sheet name="Equity valuation" sheetId="15" r:id="rId15"/>
    <sheet name="HistoricalIFS" sheetId="8" r:id="rId16"/>
    <sheet name="Common size statement" sheetId="22" r:id="rId17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9" i="15" l="1"/>
  <c r="G13" i="15" s="1"/>
  <c r="C17" i="15"/>
  <c r="L16" i="22"/>
  <c r="K16" i="22"/>
  <c r="J16" i="22"/>
  <c r="I16" i="22"/>
  <c r="H16" i="22"/>
  <c r="G16" i="22"/>
  <c r="F16" i="22"/>
  <c r="E16" i="22"/>
  <c r="D16" i="22"/>
  <c r="L15" i="22"/>
  <c r="K15" i="22"/>
  <c r="J15" i="22"/>
  <c r="I15" i="22"/>
  <c r="H15" i="22"/>
  <c r="G15" i="22"/>
  <c r="F15" i="22"/>
  <c r="E15" i="22"/>
  <c r="D15" i="22"/>
  <c r="L14" i="22"/>
  <c r="K14" i="22"/>
  <c r="J14" i="22"/>
  <c r="I14" i="22"/>
  <c r="H14" i="22"/>
  <c r="G14" i="22"/>
  <c r="F14" i="22"/>
  <c r="E14" i="22"/>
  <c r="D14" i="22"/>
  <c r="L13" i="22"/>
  <c r="K13" i="22"/>
  <c r="J13" i="22"/>
  <c r="I13" i="22"/>
  <c r="H13" i="22"/>
  <c r="G13" i="22"/>
  <c r="F13" i="22"/>
  <c r="E13" i="22"/>
  <c r="D13" i="22"/>
  <c r="L12" i="22"/>
  <c r="K12" i="22"/>
  <c r="J12" i="22"/>
  <c r="I12" i="22"/>
  <c r="H12" i="22"/>
  <c r="G12" i="22"/>
  <c r="F12" i="22"/>
  <c r="E12" i="22"/>
  <c r="D12" i="22"/>
  <c r="L11" i="22"/>
  <c r="K11" i="22"/>
  <c r="J11" i="22"/>
  <c r="I11" i="22"/>
  <c r="H11" i="22"/>
  <c r="G11" i="22"/>
  <c r="F11" i="22"/>
  <c r="E11" i="22"/>
  <c r="D11" i="22"/>
  <c r="L10" i="22"/>
  <c r="K10" i="22"/>
  <c r="J10" i="22"/>
  <c r="I10" i="22"/>
  <c r="H10" i="22"/>
  <c r="G10" i="22"/>
  <c r="F10" i="22"/>
  <c r="E10" i="22"/>
  <c r="D10" i="22"/>
  <c r="L9" i="22"/>
  <c r="K9" i="22"/>
  <c r="J9" i="22"/>
  <c r="I9" i="22"/>
  <c r="H9" i="22"/>
  <c r="G9" i="22"/>
  <c r="F9" i="22"/>
  <c r="E9" i="22"/>
  <c r="D9" i="22"/>
  <c r="L8" i="22"/>
  <c r="K8" i="22"/>
  <c r="J8" i="22"/>
  <c r="I8" i="22"/>
  <c r="H8" i="22"/>
  <c r="G8" i="22"/>
  <c r="F8" i="22"/>
  <c r="E8" i="22"/>
  <c r="D8" i="22"/>
  <c r="L7" i="22"/>
  <c r="K7" i="22"/>
  <c r="J7" i="22"/>
  <c r="I7" i="22"/>
  <c r="H7" i="22"/>
  <c r="G7" i="22"/>
  <c r="F7" i="22"/>
  <c r="E7" i="22"/>
  <c r="D7" i="22"/>
  <c r="L6" i="22"/>
  <c r="K6" i="22"/>
  <c r="J6" i="22"/>
  <c r="I6" i="22"/>
  <c r="H6" i="22"/>
  <c r="G6" i="22"/>
  <c r="F6" i="22"/>
  <c r="E6" i="22"/>
  <c r="D6" i="22"/>
  <c r="L5" i="22"/>
  <c r="K5" i="22"/>
  <c r="J5" i="22"/>
  <c r="I5" i="22"/>
  <c r="H5" i="22"/>
  <c r="G5" i="22"/>
  <c r="F5" i="22"/>
  <c r="E5" i="22"/>
  <c r="D5" i="22"/>
  <c r="C16" i="22"/>
  <c r="C15" i="22"/>
  <c r="C14" i="22"/>
  <c r="C13" i="22"/>
  <c r="C12" i="22"/>
  <c r="C11" i="22"/>
  <c r="C10" i="22"/>
  <c r="C9" i="22"/>
  <c r="C8" i="22"/>
  <c r="C7" i="22"/>
  <c r="C6" i="22"/>
  <c r="C5" i="22"/>
  <c r="L4" i="22"/>
  <c r="K4" i="22"/>
  <c r="J4" i="22"/>
  <c r="I4" i="22"/>
  <c r="H4" i="22"/>
  <c r="G4" i="22"/>
  <c r="F4" i="22"/>
  <c r="E4" i="22"/>
  <c r="D4" i="22"/>
  <c r="C4" i="22"/>
  <c r="C24" i="15"/>
  <c r="H13" i="15"/>
  <c r="L40" i="12"/>
  <c r="K40" i="12"/>
  <c r="J40" i="12"/>
  <c r="I40" i="12"/>
  <c r="H40" i="12"/>
  <c r="G40" i="12"/>
  <c r="F40" i="12"/>
  <c r="E40" i="12"/>
  <c r="D40" i="12"/>
  <c r="L39" i="12"/>
  <c r="K39" i="12"/>
  <c r="J39" i="12"/>
  <c r="I39" i="12"/>
  <c r="H39" i="12"/>
  <c r="G39" i="12"/>
  <c r="F39" i="12"/>
  <c r="E39" i="12"/>
  <c r="D39" i="12"/>
  <c r="L38" i="12"/>
  <c r="K38" i="12"/>
  <c r="J38" i="12"/>
  <c r="I38" i="12"/>
  <c r="H38" i="12"/>
  <c r="G38" i="12"/>
  <c r="F38" i="12"/>
  <c r="E38" i="12"/>
  <c r="D38" i="12"/>
  <c r="C40" i="12"/>
  <c r="C39" i="12"/>
  <c r="C38" i="12"/>
  <c r="L36" i="12"/>
  <c r="K36" i="12"/>
  <c r="J36" i="12"/>
  <c r="I36" i="12"/>
  <c r="H36" i="12"/>
  <c r="G36" i="12"/>
  <c r="F36" i="12"/>
  <c r="E36" i="12"/>
  <c r="D36" i="12"/>
  <c r="L35" i="12"/>
  <c r="K35" i="12"/>
  <c r="J35" i="12"/>
  <c r="I35" i="12"/>
  <c r="H35" i="12"/>
  <c r="G35" i="12"/>
  <c r="F35" i="12"/>
  <c r="E35" i="12"/>
  <c r="D35" i="12"/>
  <c r="L34" i="12"/>
  <c r="K34" i="12"/>
  <c r="J34" i="12"/>
  <c r="I34" i="12"/>
  <c r="H34" i="12"/>
  <c r="G34" i="12"/>
  <c r="F34" i="12"/>
  <c r="E34" i="12"/>
  <c r="D34" i="12"/>
  <c r="L33" i="12"/>
  <c r="K33" i="12"/>
  <c r="J33" i="12"/>
  <c r="I33" i="12"/>
  <c r="H33" i="12"/>
  <c r="G33" i="12"/>
  <c r="F33" i="12"/>
  <c r="E33" i="12"/>
  <c r="D33" i="12"/>
  <c r="C36" i="12"/>
  <c r="C35" i="12"/>
  <c r="C34" i="12"/>
  <c r="C33" i="12"/>
  <c r="L31" i="12"/>
  <c r="K31" i="12"/>
  <c r="J31" i="12"/>
  <c r="I31" i="12"/>
  <c r="H31" i="12"/>
  <c r="G31" i="12"/>
  <c r="F31" i="12"/>
  <c r="E31" i="12"/>
  <c r="D31" i="12"/>
  <c r="L30" i="12"/>
  <c r="K30" i="12"/>
  <c r="J30" i="12"/>
  <c r="I30" i="12"/>
  <c r="H30" i="12"/>
  <c r="G30" i="12"/>
  <c r="F30" i="12"/>
  <c r="E30" i="12"/>
  <c r="D30" i="12"/>
  <c r="L29" i="12"/>
  <c r="K29" i="12"/>
  <c r="J29" i="12"/>
  <c r="I29" i="12"/>
  <c r="H29" i="12"/>
  <c r="G29" i="12"/>
  <c r="F29" i="12"/>
  <c r="E29" i="12"/>
  <c r="D29" i="12"/>
  <c r="L28" i="12"/>
  <c r="K28" i="12"/>
  <c r="J28" i="12"/>
  <c r="I28" i="12"/>
  <c r="H28" i="12"/>
  <c r="G28" i="12"/>
  <c r="F28" i="12"/>
  <c r="E28" i="12"/>
  <c r="D28" i="12"/>
  <c r="L27" i="12"/>
  <c r="K27" i="12"/>
  <c r="J27" i="12"/>
  <c r="I27" i="12"/>
  <c r="H27" i="12"/>
  <c r="G27" i="12"/>
  <c r="F27" i="12"/>
  <c r="E27" i="12"/>
  <c r="D27" i="12"/>
  <c r="C31" i="12"/>
  <c r="C30" i="12"/>
  <c r="C29" i="12"/>
  <c r="C28" i="12"/>
  <c r="C27" i="12"/>
  <c r="L25" i="12"/>
  <c r="K25" i="12"/>
  <c r="J25" i="12"/>
  <c r="I25" i="12"/>
  <c r="H25" i="12"/>
  <c r="G25" i="12"/>
  <c r="F25" i="12"/>
  <c r="E25" i="12"/>
  <c r="D25" i="12"/>
  <c r="C25" i="12"/>
  <c r="L24" i="12"/>
  <c r="K24" i="12"/>
  <c r="J24" i="12"/>
  <c r="I24" i="12"/>
  <c r="H24" i="12"/>
  <c r="G24" i="12"/>
  <c r="F24" i="12"/>
  <c r="E24" i="12"/>
  <c r="D24" i="12"/>
  <c r="C24" i="12"/>
  <c r="L23" i="12"/>
  <c r="K23" i="12"/>
  <c r="J23" i="12"/>
  <c r="I23" i="12"/>
  <c r="H23" i="12"/>
  <c r="G23" i="12"/>
  <c r="F23" i="12"/>
  <c r="E23" i="12"/>
  <c r="D23" i="12"/>
  <c r="C23" i="12"/>
  <c r="L22" i="12"/>
  <c r="K22" i="12"/>
  <c r="J22" i="12"/>
  <c r="I22" i="12"/>
  <c r="H22" i="12"/>
  <c r="G22" i="12"/>
  <c r="F22" i="12"/>
  <c r="E22" i="12"/>
  <c r="D22" i="12"/>
  <c r="C22" i="12"/>
  <c r="L21" i="12"/>
  <c r="K21" i="12"/>
  <c r="J21" i="12"/>
  <c r="I21" i="12"/>
  <c r="H21" i="12"/>
  <c r="G21" i="12"/>
  <c r="F21" i="12"/>
  <c r="E21" i="12"/>
  <c r="D21" i="12"/>
  <c r="C21" i="12"/>
  <c r="L19" i="12"/>
  <c r="K19" i="12"/>
  <c r="J19" i="12"/>
  <c r="I19" i="12"/>
  <c r="H19" i="12"/>
  <c r="G19" i="12"/>
  <c r="F19" i="12"/>
  <c r="E19" i="12"/>
  <c r="D19" i="12"/>
  <c r="C19" i="12"/>
  <c r="L18" i="12"/>
  <c r="K18" i="12"/>
  <c r="J18" i="12"/>
  <c r="I18" i="12"/>
  <c r="H18" i="12"/>
  <c r="G18" i="12"/>
  <c r="F18" i="12"/>
  <c r="E18" i="12"/>
  <c r="D18" i="12"/>
  <c r="C18" i="12"/>
  <c r="L17" i="12"/>
  <c r="K17" i="12"/>
  <c r="J17" i="12"/>
  <c r="I17" i="12"/>
  <c r="H17" i="12"/>
  <c r="G17" i="12"/>
  <c r="F17" i="12"/>
  <c r="E17" i="12"/>
  <c r="D17" i="12"/>
  <c r="C17" i="12"/>
  <c r="L15" i="12"/>
  <c r="K15" i="12"/>
  <c r="J15" i="12"/>
  <c r="I15" i="12"/>
  <c r="H15" i="12"/>
  <c r="G15" i="12"/>
  <c r="F15" i="12"/>
  <c r="E15" i="12"/>
  <c r="D15" i="12"/>
  <c r="L14" i="12"/>
  <c r="K14" i="12"/>
  <c r="J14" i="12"/>
  <c r="I14" i="12"/>
  <c r="H14" i="12"/>
  <c r="G14" i="12"/>
  <c r="F14" i="12"/>
  <c r="E14" i="12"/>
  <c r="D14" i="12"/>
  <c r="L13" i="12"/>
  <c r="K13" i="12"/>
  <c r="J13" i="12"/>
  <c r="I13" i="12"/>
  <c r="H13" i="12"/>
  <c r="G13" i="12"/>
  <c r="F13" i="12"/>
  <c r="E13" i="12"/>
  <c r="D13" i="12"/>
  <c r="L12" i="12"/>
  <c r="K12" i="12"/>
  <c r="J12" i="12"/>
  <c r="I12" i="12"/>
  <c r="H12" i="12"/>
  <c r="G12" i="12"/>
  <c r="F12" i="12"/>
  <c r="E12" i="12"/>
  <c r="D12" i="12"/>
  <c r="L11" i="12"/>
  <c r="K11" i="12"/>
  <c r="J11" i="12"/>
  <c r="I11" i="12"/>
  <c r="H11" i="12"/>
  <c r="G11" i="12"/>
  <c r="F11" i="12"/>
  <c r="E11" i="12"/>
  <c r="D11" i="12"/>
  <c r="C15" i="12"/>
  <c r="C14" i="12"/>
  <c r="C13" i="12"/>
  <c r="C12" i="12"/>
  <c r="C11" i="12"/>
  <c r="C39" i="15"/>
  <c r="C37" i="15"/>
  <c r="C36" i="15"/>
  <c r="C26" i="15"/>
  <c r="D13" i="15" l="1"/>
  <c r="D14" i="15" s="1"/>
  <c r="C25" i="15"/>
  <c r="C27" i="15" s="1"/>
  <c r="C33" i="15" s="1"/>
  <c r="E13" i="15"/>
  <c r="F13" i="15"/>
  <c r="E23" i="21"/>
  <c r="C32" i="21"/>
  <c r="C31" i="21"/>
  <c r="D10" i="21"/>
  <c r="E10" i="21"/>
  <c r="G10" i="21"/>
  <c r="H10" i="21"/>
  <c r="J10" i="21"/>
  <c r="D11" i="21"/>
  <c r="H11" i="21" s="1"/>
  <c r="E11" i="21"/>
  <c r="G11" i="21"/>
  <c r="D12" i="21"/>
  <c r="E12" i="21"/>
  <c r="G12" i="21"/>
  <c r="H12" i="21"/>
  <c r="J12" i="21"/>
  <c r="D13" i="21"/>
  <c r="H13" i="21" s="1"/>
  <c r="E13" i="21"/>
  <c r="F15" i="21"/>
  <c r="I15" i="21"/>
  <c r="F16" i="21"/>
  <c r="I16" i="21"/>
  <c r="E22" i="21"/>
  <c r="J40" i="21" s="1"/>
  <c r="J22" i="21"/>
  <c r="F4" i="19"/>
  <c r="F6" i="19" s="1"/>
  <c r="H16" i="21" l="1"/>
  <c r="H15" i="21"/>
  <c r="E31" i="21" s="1"/>
  <c r="J15" i="21"/>
  <c r="C33" i="21"/>
  <c r="D32" i="21" s="1"/>
  <c r="G15" i="21"/>
  <c r="J32" i="21"/>
  <c r="G13" i="21"/>
  <c r="J13" i="21" s="1"/>
  <c r="J11" i="21"/>
  <c r="J16" i="21" s="1"/>
  <c r="J30" i="21" s="1"/>
  <c r="E12" i="15"/>
  <c r="H7" i="15"/>
  <c r="H9" i="15" s="1"/>
  <c r="H11" i="15" s="1"/>
  <c r="G7" i="15"/>
  <c r="G9" i="15" s="1"/>
  <c r="F7" i="15"/>
  <c r="F9" i="15" s="1"/>
  <c r="E7" i="15"/>
  <c r="E9" i="15" s="1"/>
  <c r="D7" i="15"/>
  <c r="D9" i="15" s="1"/>
  <c r="C7" i="15"/>
  <c r="C10" i="15"/>
  <c r="D10" i="15" s="1"/>
  <c r="E10" i="15" s="1"/>
  <c r="F10" i="15" s="1"/>
  <c r="G10" i="15" s="1"/>
  <c r="C9" i="15"/>
  <c r="C11" i="15" s="1"/>
  <c r="H6" i="15"/>
  <c r="G6" i="15"/>
  <c r="F6" i="15"/>
  <c r="E6" i="15"/>
  <c r="D6" i="15"/>
  <c r="C6" i="15"/>
  <c r="F12" i="15" l="1"/>
  <c r="G12" i="15" s="1"/>
  <c r="H12" i="15" s="1"/>
  <c r="D11" i="15"/>
  <c r="E11" i="15"/>
  <c r="G11" i="15"/>
  <c r="F11" i="15"/>
  <c r="D31" i="21"/>
  <c r="D36" i="21" s="1"/>
  <c r="D33" i="21"/>
  <c r="E33" i="21" s="1"/>
  <c r="E32" i="21" s="1"/>
  <c r="J38" i="21" s="1"/>
  <c r="E36" i="21"/>
  <c r="J31" i="21" s="1"/>
  <c r="J33" i="21" s="1"/>
  <c r="J23" i="21" s="1"/>
  <c r="J24" i="21" s="1"/>
  <c r="J37" i="21" s="1"/>
  <c r="J41" i="21"/>
  <c r="G16" i="21"/>
  <c r="D4" i="14"/>
  <c r="E4" i="14"/>
  <c r="F4" i="14"/>
  <c r="G4" i="14"/>
  <c r="H4" i="14"/>
  <c r="I4" i="14"/>
  <c r="B63" i="14"/>
  <c r="B62" i="14"/>
  <c r="I45" i="14"/>
  <c r="H45" i="14"/>
  <c r="G45" i="14"/>
  <c r="F45" i="14"/>
  <c r="E45" i="14"/>
  <c r="D45" i="14"/>
  <c r="B45" i="14"/>
  <c r="I44" i="14"/>
  <c r="H44" i="14"/>
  <c r="G44" i="14"/>
  <c r="F44" i="14"/>
  <c r="E44" i="14"/>
  <c r="D44" i="14"/>
  <c r="B44" i="14"/>
  <c r="H79" i="9"/>
  <c r="G79" i="9"/>
  <c r="F79" i="9"/>
  <c r="E79" i="9"/>
  <c r="D79" i="9"/>
  <c r="C79" i="9"/>
  <c r="H77" i="9"/>
  <c r="G77" i="9"/>
  <c r="F77" i="9"/>
  <c r="E77" i="9"/>
  <c r="D77" i="9"/>
  <c r="C77" i="9"/>
  <c r="H67" i="9"/>
  <c r="G67" i="9"/>
  <c r="F67" i="9"/>
  <c r="E67" i="9"/>
  <c r="D67" i="9"/>
  <c r="C67" i="9"/>
  <c r="H56" i="9"/>
  <c r="G56" i="9"/>
  <c r="F56" i="9"/>
  <c r="E56" i="9"/>
  <c r="D56" i="9"/>
  <c r="C56" i="9"/>
  <c r="H45" i="9"/>
  <c r="G45" i="9"/>
  <c r="F45" i="9"/>
  <c r="E45" i="9"/>
  <c r="D45" i="9"/>
  <c r="C45" i="9"/>
  <c r="I37" i="14"/>
  <c r="I49" i="14" s="1"/>
  <c r="I51" i="14" s="1"/>
  <c r="H37" i="14"/>
  <c r="H49" i="14" s="1"/>
  <c r="H51" i="14" s="1"/>
  <c r="G37" i="14"/>
  <c r="G49" i="14" s="1"/>
  <c r="G51" i="14" s="1"/>
  <c r="F37" i="14"/>
  <c r="F49" i="14" s="1"/>
  <c r="F51" i="14" s="1"/>
  <c r="E37" i="14"/>
  <c r="E49" i="14" s="1"/>
  <c r="E51" i="14" s="1"/>
  <c r="D37" i="14"/>
  <c r="D49" i="14" s="1"/>
  <c r="D51" i="14" s="1"/>
  <c r="B23" i="14"/>
  <c r="I33" i="14"/>
  <c r="H33" i="14"/>
  <c r="G33" i="14"/>
  <c r="F33" i="14"/>
  <c r="E33" i="14"/>
  <c r="D33" i="14"/>
  <c r="B33" i="14"/>
  <c r="I31" i="14"/>
  <c r="H31" i="14"/>
  <c r="G31" i="14"/>
  <c r="F31" i="14"/>
  <c r="E31" i="14"/>
  <c r="I30" i="14"/>
  <c r="H30" i="14"/>
  <c r="G30" i="14"/>
  <c r="F30" i="14"/>
  <c r="E30" i="14"/>
  <c r="I29" i="14"/>
  <c r="H29" i="14"/>
  <c r="G29" i="14"/>
  <c r="F29" i="14"/>
  <c r="E29" i="14"/>
  <c r="I28" i="14"/>
  <c r="H28" i="14"/>
  <c r="G28" i="14"/>
  <c r="F28" i="14"/>
  <c r="E28" i="14"/>
  <c r="I27" i="14"/>
  <c r="H27" i="14"/>
  <c r="G27" i="14"/>
  <c r="F27" i="14"/>
  <c r="E27" i="14"/>
  <c r="I26" i="14"/>
  <c r="H26" i="14"/>
  <c r="G26" i="14"/>
  <c r="F26" i="14"/>
  <c r="E26" i="14"/>
  <c r="I25" i="14"/>
  <c r="H25" i="14"/>
  <c r="G25" i="14"/>
  <c r="F25" i="14"/>
  <c r="E25" i="14"/>
  <c r="I24" i="14"/>
  <c r="H24" i="14"/>
  <c r="G24" i="14"/>
  <c r="F24" i="14"/>
  <c r="E24" i="14"/>
  <c r="D31" i="14"/>
  <c r="D30" i="14"/>
  <c r="D29" i="14"/>
  <c r="D28" i="14"/>
  <c r="D27" i="14"/>
  <c r="D26" i="14"/>
  <c r="D25" i="14"/>
  <c r="D24" i="14"/>
  <c r="B31" i="14"/>
  <c r="B30" i="14"/>
  <c r="B29" i="14"/>
  <c r="B28" i="14"/>
  <c r="B27" i="14"/>
  <c r="B26" i="14"/>
  <c r="B25" i="14"/>
  <c r="B24" i="14"/>
  <c r="I17" i="14"/>
  <c r="H17" i="14"/>
  <c r="G17" i="14"/>
  <c r="F17" i="14"/>
  <c r="E17" i="14"/>
  <c r="D17" i="14"/>
  <c r="I16" i="14"/>
  <c r="H16" i="14"/>
  <c r="G16" i="14"/>
  <c r="F16" i="14"/>
  <c r="E16" i="14"/>
  <c r="D16" i="14"/>
  <c r="I15" i="14"/>
  <c r="H15" i="14"/>
  <c r="G15" i="14"/>
  <c r="F15" i="14"/>
  <c r="E15" i="14"/>
  <c r="D15" i="14"/>
  <c r="B17" i="14"/>
  <c r="B16" i="14"/>
  <c r="B15" i="14"/>
  <c r="I11" i="14"/>
  <c r="H11" i="14"/>
  <c r="G11" i="14"/>
  <c r="F11" i="14"/>
  <c r="E11" i="14"/>
  <c r="I10" i="14"/>
  <c r="H10" i="14"/>
  <c r="G10" i="14"/>
  <c r="F10" i="14"/>
  <c r="E10" i="14"/>
  <c r="D11" i="14"/>
  <c r="D10" i="14"/>
  <c r="I9" i="14"/>
  <c r="H9" i="14"/>
  <c r="G9" i="14"/>
  <c r="F9" i="14"/>
  <c r="E9" i="14"/>
  <c r="D9" i="14"/>
  <c r="I8" i="14"/>
  <c r="H8" i="14"/>
  <c r="G8" i="14"/>
  <c r="F8" i="14"/>
  <c r="E8" i="14"/>
  <c r="D8" i="14"/>
  <c r="B11" i="14"/>
  <c r="B10" i="14"/>
  <c r="B9" i="14"/>
  <c r="B8" i="14"/>
  <c r="M27" i="8"/>
  <c r="L27" i="8"/>
  <c r="K27" i="8"/>
  <c r="J27" i="8"/>
  <c r="I27" i="8"/>
  <c r="H27" i="8"/>
  <c r="G27" i="8"/>
  <c r="F27" i="8"/>
  <c r="E27" i="8"/>
  <c r="D27" i="8"/>
  <c r="C27" i="8"/>
  <c r="H28" i="9"/>
  <c r="G28" i="9"/>
  <c r="F28" i="9"/>
  <c r="E28" i="9"/>
  <c r="D28" i="9"/>
  <c r="C28" i="9"/>
  <c r="L2" i="13"/>
  <c r="L5" i="13"/>
  <c r="L6" i="13" s="1"/>
  <c r="L7" i="13" s="1"/>
  <c r="L8" i="13" s="1"/>
  <c r="L9" i="13" s="1"/>
  <c r="L10" i="13" s="1"/>
  <c r="L11" i="13" s="1"/>
  <c r="L12" i="13" s="1"/>
  <c r="L13" i="13" s="1"/>
  <c r="C4" i="13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G2" i="13"/>
  <c r="G5" i="13"/>
  <c r="G6" i="13" s="1"/>
  <c r="G7" i="13" s="1"/>
  <c r="G8" i="13" s="1"/>
  <c r="G9" i="13" s="1"/>
  <c r="G10" i="13" s="1"/>
  <c r="G11" i="13" s="1"/>
  <c r="G12" i="13" s="1"/>
  <c r="G13" i="13" s="1"/>
  <c r="B2" i="13"/>
  <c r="B5" i="13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C3" i="12"/>
  <c r="D3" i="12"/>
  <c r="E3" i="12"/>
  <c r="F3" i="12"/>
  <c r="G3" i="12"/>
  <c r="H3" i="12"/>
  <c r="I3" i="12"/>
  <c r="J3" i="12"/>
  <c r="K3" i="12"/>
  <c r="L3" i="12"/>
  <c r="H4" i="13" l="1"/>
  <c r="M4" i="13" s="1"/>
  <c r="M5" i="13" s="1"/>
  <c r="M6" i="13" s="1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E14" i="15"/>
  <c r="J42" i="21"/>
  <c r="G46" i="14"/>
  <c r="H46" i="14"/>
  <c r="I46" i="14"/>
  <c r="F46" i="14"/>
  <c r="D46" i="14"/>
  <c r="E46" i="14"/>
  <c r="I32" i="14"/>
  <c r="I34" i="14" s="1"/>
  <c r="F12" i="14"/>
  <c r="D32" i="14"/>
  <c r="D34" i="14" s="1"/>
  <c r="F32" i="14"/>
  <c r="F34" i="14" s="1"/>
  <c r="H32" i="14"/>
  <c r="H34" i="14" s="1"/>
  <c r="E32" i="14"/>
  <c r="E34" i="14" s="1"/>
  <c r="G32" i="14"/>
  <c r="G34" i="14" s="1"/>
  <c r="G12" i="14"/>
  <c r="D18" i="14"/>
  <c r="E18" i="14"/>
  <c r="H12" i="14"/>
  <c r="I12" i="14"/>
  <c r="F18" i="14"/>
  <c r="H18" i="14"/>
  <c r="D12" i="14"/>
  <c r="I18" i="14"/>
  <c r="E12" i="14"/>
  <c r="G18" i="14"/>
  <c r="L14" i="13"/>
  <c r="G14" i="13"/>
  <c r="H5" i="13" l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F14" i="15"/>
  <c r="G14" i="15"/>
  <c r="F20" i="14"/>
  <c r="F36" i="14" s="1"/>
  <c r="E20" i="14"/>
  <c r="D20" i="14"/>
  <c r="D36" i="14" s="1"/>
  <c r="D39" i="14" s="1"/>
  <c r="D62" i="14" s="1"/>
  <c r="I20" i="14"/>
  <c r="G20" i="14"/>
  <c r="H20" i="14"/>
  <c r="L15" i="13"/>
  <c r="G15" i="13"/>
  <c r="B2" i="12"/>
  <c r="L105" i="8"/>
  <c r="K105" i="8"/>
  <c r="J105" i="8"/>
  <c r="I105" i="8"/>
  <c r="H105" i="8"/>
  <c r="G105" i="8"/>
  <c r="F105" i="8"/>
  <c r="E105" i="8"/>
  <c r="D105" i="8"/>
  <c r="L104" i="8"/>
  <c r="K104" i="8"/>
  <c r="J104" i="8"/>
  <c r="I104" i="8"/>
  <c r="H104" i="8"/>
  <c r="G104" i="8"/>
  <c r="F104" i="8"/>
  <c r="E104" i="8"/>
  <c r="D104" i="8"/>
  <c r="L103" i="8"/>
  <c r="K103" i="8"/>
  <c r="J103" i="8"/>
  <c r="I103" i="8"/>
  <c r="H103" i="8"/>
  <c r="G103" i="8"/>
  <c r="F103" i="8"/>
  <c r="E103" i="8"/>
  <c r="D103" i="8"/>
  <c r="L102" i="8"/>
  <c r="K102" i="8"/>
  <c r="J102" i="8"/>
  <c r="I102" i="8"/>
  <c r="H102" i="8"/>
  <c r="G102" i="8"/>
  <c r="F102" i="8"/>
  <c r="E102" i="8"/>
  <c r="D102" i="8"/>
  <c r="L101" i="8"/>
  <c r="K101" i="8"/>
  <c r="J101" i="8"/>
  <c r="I101" i="8"/>
  <c r="H101" i="8"/>
  <c r="G101" i="8"/>
  <c r="F101" i="8"/>
  <c r="E101" i="8"/>
  <c r="D101" i="8"/>
  <c r="L100" i="8"/>
  <c r="K100" i="8"/>
  <c r="J100" i="8"/>
  <c r="I100" i="8"/>
  <c r="H100" i="8"/>
  <c r="G100" i="8"/>
  <c r="F100" i="8"/>
  <c r="E100" i="8"/>
  <c r="D100" i="8"/>
  <c r="L99" i="8"/>
  <c r="K99" i="8"/>
  <c r="J99" i="8"/>
  <c r="I99" i="8"/>
  <c r="H99" i="8"/>
  <c r="G99" i="8"/>
  <c r="G106" i="8" s="1"/>
  <c r="F99" i="8"/>
  <c r="E99" i="8"/>
  <c r="D99" i="8"/>
  <c r="C105" i="8"/>
  <c r="C104" i="8"/>
  <c r="C103" i="8"/>
  <c r="C102" i="8"/>
  <c r="C101" i="8"/>
  <c r="C100" i="8"/>
  <c r="C99" i="8"/>
  <c r="L95" i="8"/>
  <c r="K95" i="8"/>
  <c r="J95" i="8"/>
  <c r="I95" i="8"/>
  <c r="H95" i="8"/>
  <c r="G95" i="8"/>
  <c r="F95" i="8"/>
  <c r="E95" i="8"/>
  <c r="D95" i="8"/>
  <c r="L94" i="8"/>
  <c r="K94" i="8"/>
  <c r="J94" i="8"/>
  <c r="I94" i="8"/>
  <c r="H94" i="8"/>
  <c r="G94" i="8"/>
  <c r="F94" i="8"/>
  <c r="E94" i="8"/>
  <c r="D94" i="8"/>
  <c r="L93" i="8"/>
  <c r="K93" i="8"/>
  <c r="J93" i="8"/>
  <c r="I93" i="8"/>
  <c r="H93" i="8"/>
  <c r="G93" i="8"/>
  <c r="F93" i="8"/>
  <c r="E93" i="8"/>
  <c r="D93" i="8"/>
  <c r="L92" i="8"/>
  <c r="K92" i="8"/>
  <c r="J92" i="8"/>
  <c r="I92" i="8"/>
  <c r="H92" i="8"/>
  <c r="G92" i="8"/>
  <c r="F92" i="8"/>
  <c r="E92" i="8"/>
  <c r="D92" i="8"/>
  <c r="L91" i="8"/>
  <c r="K91" i="8"/>
  <c r="J91" i="8"/>
  <c r="I91" i="8"/>
  <c r="H91" i="8"/>
  <c r="G91" i="8"/>
  <c r="F91" i="8"/>
  <c r="E91" i="8"/>
  <c r="D91" i="8"/>
  <c r="L90" i="8"/>
  <c r="K90" i="8"/>
  <c r="J90" i="8"/>
  <c r="I90" i="8"/>
  <c r="H90" i="8"/>
  <c r="G90" i="8"/>
  <c r="F90" i="8"/>
  <c r="E90" i="8"/>
  <c r="D90" i="8"/>
  <c r="L89" i="8"/>
  <c r="L96" i="8" s="1"/>
  <c r="K89" i="8"/>
  <c r="J89" i="8"/>
  <c r="I89" i="8"/>
  <c r="H89" i="8"/>
  <c r="G89" i="8"/>
  <c r="F89" i="8"/>
  <c r="E89" i="8"/>
  <c r="D89" i="8"/>
  <c r="D96" i="8" s="1"/>
  <c r="L88" i="8"/>
  <c r="K88" i="8"/>
  <c r="J88" i="8"/>
  <c r="I88" i="8"/>
  <c r="H88" i="8"/>
  <c r="G88" i="8"/>
  <c r="F88" i="8"/>
  <c r="E88" i="8"/>
  <c r="E96" i="8" s="1"/>
  <c r="D88" i="8"/>
  <c r="C95" i="8"/>
  <c r="C94" i="8"/>
  <c r="C93" i="8"/>
  <c r="C92" i="8"/>
  <c r="C91" i="8"/>
  <c r="C90" i="8"/>
  <c r="C89" i="8"/>
  <c r="C88" i="8"/>
  <c r="L84" i="8"/>
  <c r="K84" i="8"/>
  <c r="J84" i="8"/>
  <c r="I84" i="8"/>
  <c r="H84" i="8"/>
  <c r="G84" i="8"/>
  <c r="F84" i="8"/>
  <c r="E84" i="8"/>
  <c r="D84" i="8"/>
  <c r="L83" i="8"/>
  <c r="K83" i="8"/>
  <c r="J83" i="8"/>
  <c r="I83" i="8"/>
  <c r="H83" i="8"/>
  <c r="G83" i="8"/>
  <c r="F83" i="8"/>
  <c r="E83" i="8"/>
  <c r="D83" i="8"/>
  <c r="L82" i="8"/>
  <c r="K82" i="8"/>
  <c r="J82" i="8"/>
  <c r="I82" i="8"/>
  <c r="H82" i="8"/>
  <c r="G82" i="8"/>
  <c r="F82" i="8"/>
  <c r="E82" i="8"/>
  <c r="D82" i="8"/>
  <c r="L81" i="8"/>
  <c r="K81" i="8"/>
  <c r="J81" i="8"/>
  <c r="I81" i="8"/>
  <c r="H81" i="8"/>
  <c r="G81" i="8"/>
  <c r="F81" i="8"/>
  <c r="E81" i="8"/>
  <c r="D81" i="8"/>
  <c r="L80" i="8"/>
  <c r="K80" i="8"/>
  <c r="J80" i="8"/>
  <c r="I80" i="8"/>
  <c r="H80" i="8"/>
  <c r="G80" i="8"/>
  <c r="F80" i="8"/>
  <c r="E80" i="8"/>
  <c r="D80" i="8"/>
  <c r="L79" i="8"/>
  <c r="K79" i="8"/>
  <c r="J79" i="8"/>
  <c r="I79" i="8"/>
  <c r="H79" i="8"/>
  <c r="G79" i="8"/>
  <c r="F79" i="8"/>
  <c r="E79" i="8"/>
  <c r="D79" i="8"/>
  <c r="L78" i="8"/>
  <c r="K78" i="8"/>
  <c r="J78" i="8"/>
  <c r="I78" i="8"/>
  <c r="H78" i="8"/>
  <c r="G78" i="8"/>
  <c r="F78" i="8"/>
  <c r="E78" i="8"/>
  <c r="D78" i="8"/>
  <c r="L77" i="8"/>
  <c r="K77" i="8"/>
  <c r="J77" i="8"/>
  <c r="I77" i="8"/>
  <c r="H77" i="8"/>
  <c r="G77" i="8"/>
  <c r="F77" i="8"/>
  <c r="E77" i="8"/>
  <c r="D77" i="8"/>
  <c r="C84" i="8"/>
  <c r="C83" i="8"/>
  <c r="C82" i="8"/>
  <c r="C81" i="8"/>
  <c r="C80" i="8"/>
  <c r="C79" i="8"/>
  <c r="C78" i="8"/>
  <c r="C77" i="8"/>
  <c r="L67" i="8"/>
  <c r="K67" i="8"/>
  <c r="J67" i="8"/>
  <c r="I67" i="8"/>
  <c r="H67" i="8"/>
  <c r="G67" i="8"/>
  <c r="F67" i="8"/>
  <c r="E67" i="8"/>
  <c r="D67" i="8"/>
  <c r="L66" i="8"/>
  <c r="K66" i="8"/>
  <c r="J66" i="8"/>
  <c r="I66" i="8"/>
  <c r="H66" i="8"/>
  <c r="G66" i="8"/>
  <c r="F66" i="8"/>
  <c r="E66" i="8"/>
  <c r="D66" i="8"/>
  <c r="L65" i="8"/>
  <c r="L68" i="8" s="1"/>
  <c r="K65" i="8"/>
  <c r="J65" i="8"/>
  <c r="I65" i="8"/>
  <c r="I68" i="8" s="1"/>
  <c r="H65" i="8"/>
  <c r="G65" i="8"/>
  <c r="F65" i="8"/>
  <c r="E65" i="8"/>
  <c r="D65" i="8"/>
  <c r="D68" i="8" s="1"/>
  <c r="C67" i="8"/>
  <c r="C66" i="8"/>
  <c r="C65" i="8"/>
  <c r="L62" i="8"/>
  <c r="K62" i="8"/>
  <c r="J62" i="8"/>
  <c r="I62" i="8"/>
  <c r="H62" i="8"/>
  <c r="G62" i="8"/>
  <c r="F62" i="8"/>
  <c r="E62" i="8"/>
  <c r="D62" i="8"/>
  <c r="L61" i="8"/>
  <c r="K61" i="8"/>
  <c r="J61" i="8"/>
  <c r="I61" i="8"/>
  <c r="H61" i="8"/>
  <c r="G61" i="8"/>
  <c r="F61" i="8"/>
  <c r="E61" i="8"/>
  <c r="D61" i="8"/>
  <c r="L60" i="8"/>
  <c r="K60" i="8"/>
  <c r="J60" i="8"/>
  <c r="I60" i="8"/>
  <c r="H60" i="8"/>
  <c r="G60" i="8"/>
  <c r="F60" i="8"/>
  <c r="E60" i="8"/>
  <c r="D60" i="8"/>
  <c r="L59" i="8"/>
  <c r="K59" i="8"/>
  <c r="J59" i="8"/>
  <c r="I59" i="8"/>
  <c r="H59" i="8"/>
  <c r="G59" i="8"/>
  <c r="F59" i="8"/>
  <c r="E59" i="8"/>
  <c r="D59" i="8"/>
  <c r="C62" i="8"/>
  <c r="C61" i="8"/>
  <c r="C60" i="8"/>
  <c r="C59" i="8"/>
  <c r="L57" i="8"/>
  <c r="K57" i="8"/>
  <c r="J57" i="8"/>
  <c r="I57" i="8"/>
  <c r="H57" i="8"/>
  <c r="G57" i="8"/>
  <c r="F57" i="8"/>
  <c r="E57" i="8"/>
  <c r="D57" i="8"/>
  <c r="L56" i="8"/>
  <c r="K56" i="8"/>
  <c r="J56" i="8"/>
  <c r="I56" i="8"/>
  <c r="H56" i="8"/>
  <c r="G56" i="8"/>
  <c r="F56" i="8"/>
  <c r="E56" i="8"/>
  <c r="D56" i="8"/>
  <c r="L55" i="8"/>
  <c r="K55" i="8"/>
  <c r="J55" i="8"/>
  <c r="I55" i="8"/>
  <c r="H55" i="8"/>
  <c r="G55" i="8"/>
  <c r="F55" i="8"/>
  <c r="E55" i="8"/>
  <c r="D55" i="8"/>
  <c r="L54" i="8"/>
  <c r="K54" i="8"/>
  <c r="J54" i="8"/>
  <c r="I54" i="8"/>
  <c r="H54" i="8"/>
  <c r="G54" i="8"/>
  <c r="F54" i="8"/>
  <c r="E54" i="8"/>
  <c r="D54" i="8"/>
  <c r="L53" i="8"/>
  <c r="K53" i="8"/>
  <c r="J53" i="8"/>
  <c r="I53" i="8"/>
  <c r="H53" i="8"/>
  <c r="G53" i="8"/>
  <c r="F53" i="8"/>
  <c r="E53" i="8"/>
  <c r="D53" i="8"/>
  <c r="C57" i="8"/>
  <c r="C56" i="8"/>
  <c r="C55" i="8"/>
  <c r="C54" i="8"/>
  <c r="C53" i="8"/>
  <c r="M46" i="8"/>
  <c r="L46" i="8"/>
  <c r="K46" i="8"/>
  <c r="J46" i="8"/>
  <c r="I46" i="8"/>
  <c r="H46" i="8"/>
  <c r="G46" i="8"/>
  <c r="F46" i="8"/>
  <c r="E46" i="8"/>
  <c r="D46" i="8"/>
  <c r="C46" i="8"/>
  <c r="M41" i="8"/>
  <c r="L41" i="8"/>
  <c r="K41" i="8"/>
  <c r="J41" i="8"/>
  <c r="I41" i="8"/>
  <c r="H41" i="8"/>
  <c r="G41" i="8"/>
  <c r="F41" i="8"/>
  <c r="E41" i="8"/>
  <c r="D41" i="8"/>
  <c r="C41" i="8"/>
  <c r="M35" i="8"/>
  <c r="M32" i="8"/>
  <c r="L35" i="8"/>
  <c r="K35" i="8"/>
  <c r="J35" i="8"/>
  <c r="I35" i="8"/>
  <c r="H35" i="8"/>
  <c r="G35" i="8"/>
  <c r="F35" i="8"/>
  <c r="E35" i="8"/>
  <c r="D35" i="8"/>
  <c r="C35" i="8"/>
  <c r="L32" i="8"/>
  <c r="K32" i="8"/>
  <c r="J32" i="8"/>
  <c r="J33" i="8" s="1"/>
  <c r="I32" i="8"/>
  <c r="I33" i="8" s="1"/>
  <c r="H32" i="8"/>
  <c r="G32" i="8"/>
  <c r="F32" i="8"/>
  <c r="E32" i="8"/>
  <c r="D32" i="8"/>
  <c r="C32" i="8"/>
  <c r="M23" i="8"/>
  <c r="M20" i="8"/>
  <c r="L23" i="8"/>
  <c r="K23" i="8"/>
  <c r="J23" i="8"/>
  <c r="I23" i="8"/>
  <c r="H23" i="8"/>
  <c r="G23" i="8"/>
  <c r="F23" i="8"/>
  <c r="E23" i="8"/>
  <c r="E24" i="8" s="1"/>
  <c r="D23" i="8"/>
  <c r="D24" i="8" s="1"/>
  <c r="C23" i="8"/>
  <c r="L20" i="8"/>
  <c r="K20" i="8"/>
  <c r="J20" i="8"/>
  <c r="I20" i="8"/>
  <c r="I21" i="8" s="1"/>
  <c r="H20" i="8"/>
  <c r="G20" i="8"/>
  <c r="F20" i="8"/>
  <c r="E20" i="8"/>
  <c r="D20" i="8"/>
  <c r="C20" i="8"/>
  <c r="M15" i="8"/>
  <c r="L15" i="8"/>
  <c r="K15" i="8"/>
  <c r="J15" i="8"/>
  <c r="I15" i="8"/>
  <c r="H15" i="8"/>
  <c r="G15" i="8"/>
  <c r="F15" i="8"/>
  <c r="E15" i="8"/>
  <c r="D15" i="8"/>
  <c r="C15" i="8"/>
  <c r="D12" i="8"/>
  <c r="D13" i="8" s="1"/>
  <c r="M9" i="8"/>
  <c r="L9" i="8"/>
  <c r="K9" i="8"/>
  <c r="J9" i="8"/>
  <c r="J10" i="8" s="1"/>
  <c r="I9" i="8"/>
  <c r="I12" i="8" s="1"/>
  <c r="H9" i="8"/>
  <c r="H10" i="8" s="1"/>
  <c r="G9" i="8"/>
  <c r="F9" i="8"/>
  <c r="F10" i="8" s="1"/>
  <c r="E9" i="8"/>
  <c r="D9" i="8"/>
  <c r="C9" i="8"/>
  <c r="J7" i="8"/>
  <c r="M6" i="8"/>
  <c r="M12" i="8" s="1"/>
  <c r="L6" i="8"/>
  <c r="K6" i="8"/>
  <c r="K7" i="8" s="1"/>
  <c r="J6" i="8"/>
  <c r="I6" i="8"/>
  <c r="H6" i="8"/>
  <c r="G6" i="8"/>
  <c r="F6" i="8"/>
  <c r="E6" i="8"/>
  <c r="E12" i="8" s="1"/>
  <c r="E13" i="8" s="1"/>
  <c r="D6" i="8"/>
  <c r="C6" i="8"/>
  <c r="L3" i="8"/>
  <c r="K3" i="8"/>
  <c r="J3" i="8"/>
  <c r="I3" i="8"/>
  <c r="H3" i="8"/>
  <c r="G3" i="8"/>
  <c r="F3" i="8"/>
  <c r="E3" i="8"/>
  <c r="D3" i="8"/>
  <c r="C3" i="8"/>
  <c r="B2" i="8"/>
  <c r="H14" i="15" l="1"/>
  <c r="C32" i="15" s="1"/>
  <c r="C34" i="15" s="1"/>
  <c r="G36" i="14"/>
  <c r="G47" i="14"/>
  <c r="G53" i="14" s="1"/>
  <c r="G55" i="14" s="1"/>
  <c r="G63" i="14" s="1"/>
  <c r="G65" i="14" s="1"/>
  <c r="I36" i="14"/>
  <c r="I39" i="14" s="1"/>
  <c r="I62" i="14" s="1"/>
  <c r="I47" i="14"/>
  <c r="I53" i="14" s="1"/>
  <c r="I55" i="14" s="1"/>
  <c r="I63" i="14" s="1"/>
  <c r="E47" i="14"/>
  <c r="E53" i="14" s="1"/>
  <c r="E55" i="14" s="1"/>
  <c r="F47" i="14"/>
  <c r="F53" i="14" s="1"/>
  <c r="F55" i="14" s="1"/>
  <c r="F63" i="14" s="1"/>
  <c r="F65" i="14" s="1"/>
  <c r="H36" i="14"/>
  <c r="H39" i="14" s="1"/>
  <c r="H62" i="14" s="1"/>
  <c r="H47" i="14"/>
  <c r="H53" i="14" s="1"/>
  <c r="H55" i="14" s="1"/>
  <c r="H63" i="14" s="1"/>
  <c r="G39" i="14"/>
  <c r="G62" i="14" s="1"/>
  <c r="F39" i="14"/>
  <c r="F62" i="14" s="1"/>
  <c r="E36" i="14"/>
  <c r="F12" i="8"/>
  <c r="F17" i="8" s="1"/>
  <c r="C33" i="8"/>
  <c r="K33" i="8"/>
  <c r="D33" i="8"/>
  <c r="L33" i="8"/>
  <c r="L63" i="8"/>
  <c r="L69" i="8" s="1"/>
  <c r="L71" i="8" s="1"/>
  <c r="C10" i="8"/>
  <c r="K10" i="8"/>
  <c r="D21" i="8"/>
  <c r="L21" i="8"/>
  <c r="D10" i="8"/>
  <c r="L10" i="8"/>
  <c r="E10" i="8"/>
  <c r="E21" i="8"/>
  <c r="M24" i="8"/>
  <c r="F96" i="8"/>
  <c r="F106" i="8"/>
  <c r="E106" i="8"/>
  <c r="I106" i="8"/>
  <c r="G96" i="8"/>
  <c r="H106" i="8"/>
  <c r="H96" i="8"/>
  <c r="C24" i="8"/>
  <c r="I96" i="8"/>
  <c r="E9" i="12"/>
  <c r="J21" i="8"/>
  <c r="L5" i="12"/>
  <c r="G10" i="8"/>
  <c r="C21" i="8"/>
  <c r="K21" i="8"/>
  <c r="K24" i="8"/>
  <c r="C85" i="8"/>
  <c r="D85" i="8"/>
  <c r="L85" i="8"/>
  <c r="K85" i="8"/>
  <c r="J85" i="8"/>
  <c r="I85" i="8"/>
  <c r="H85" i="8"/>
  <c r="H108" i="8" s="1"/>
  <c r="G85" i="8"/>
  <c r="F85" i="8"/>
  <c r="D63" i="8"/>
  <c r="D69" i="8" s="1"/>
  <c r="D71" i="8" s="1"/>
  <c r="M13" i="8"/>
  <c r="M17" i="8"/>
  <c r="M26" i="8" s="1"/>
  <c r="I17" i="8"/>
  <c r="I26" i="8" s="1"/>
  <c r="I13" i="8"/>
  <c r="G108" i="8"/>
  <c r="E85" i="8"/>
  <c r="D5" i="12"/>
  <c r="F24" i="8"/>
  <c r="E5" i="12"/>
  <c r="M7" i="8"/>
  <c r="I24" i="8"/>
  <c r="G9" i="12"/>
  <c r="J106" i="8"/>
  <c r="F5" i="12"/>
  <c r="D7" i="8"/>
  <c r="I10" i="8"/>
  <c r="J12" i="8"/>
  <c r="E17" i="8"/>
  <c r="E26" i="8" s="1"/>
  <c r="M21" i="8"/>
  <c r="J24" i="8"/>
  <c r="H24" i="8"/>
  <c r="E68" i="8"/>
  <c r="G5" i="12"/>
  <c r="G12" i="8"/>
  <c r="M33" i="8"/>
  <c r="C68" i="8"/>
  <c r="F68" i="8"/>
  <c r="L106" i="8"/>
  <c r="H5" i="12"/>
  <c r="H12" i="8"/>
  <c r="H7" i="8"/>
  <c r="F7" i="8"/>
  <c r="M10" i="8"/>
  <c r="L12" i="8"/>
  <c r="G21" i="8"/>
  <c r="L24" i="8"/>
  <c r="H33" i="8"/>
  <c r="J9" i="12"/>
  <c r="J68" i="8"/>
  <c r="G68" i="8"/>
  <c r="K96" i="8"/>
  <c r="C106" i="8"/>
  <c r="I63" i="8"/>
  <c r="I69" i="8" s="1"/>
  <c r="I71" i="8" s="1"/>
  <c r="L7" i="8"/>
  <c r="F9" i="12"/>
  <c r="D17" i="8"/>
  <c r="D26" i="8" s="1"/>
  <c r="G24" i="8"/>
  <c r="E33" i="8"/>
  <c r="F33" i="8"/>
  <c r="H9" i="12"/>
  <c r="K106" i="8"/>
  <c r="E7" i="8"/>
  <c r="K12" i="8"/>
  <c r="F21" i="8"/>
  <c r="G33" i="8"/>
  <c r="I9" i="12"/>
  <c r="J96" i="8"/>
  <c r="D106" i="8"/>
  <c r="D108" i="8" s="1"/>
  <c r="I5" i="12"/>
  <c r="I7" i="8"/>
  <c r="G7" i="8"/>
  <c r="C12" i="8"/>
  <c r="H21" i="8"/>
  <c r="O35" i="12"/>
  <c r="K68" i="8"/>
  <c r="H68" i="8"/>
  <c r="C96" i="8"/>
  <c r="J5" i="12"/>
  <c r="K9" i="12"/>
  <c r="N35" i="12"/>
  <c r="D4" i="13" a="1"/>
  <c r="K5" i="12"/>
  <c r="D9" i="12"/>
  <c r="L9" i="12"/>
  <c r="L16" i="13"/>
  <c r="G16" i="13"/>
  <c r="C38" i="15" l="1"/>
  <c r="C41" i="15" s="1"/>
  <c r="C44" i="15" s="1"/>
  <c r="E63" i="14"/>
  <c r="I58" i="14"/>
  <c r="I57" i="14"/>
  <c r="I65" i="14"/>
  <c r="H65" i="14"/>
  <c r="E39" i="14"/>
  <c r="E62" i="14" s="1"/>
  <c r="F26" i="8"/>
  <c r="F6" i="12"/>
  <c r="F18" i="8"/>
  <c r="F29" i="8"/>
  <c r="F38" i="8" s="1"/>
  <c r="F47" i="8" s="1"/>
  <c r="F49" i="8" s="1"/>
  <c r="F108" i="8"/>
  <c r="J108" i="8"/>
  <c r="O40" i="12"/>
  <c r="F13" i="8"/>
  <c r="O30" i="12"/>
  <c r="N17" i="12"/>
  <c r="N28" i="12"/>
  <c r="L108" i="8"/>
  <c r="I108" i="8"/>
  <c r="K108" i="8"/>
  <c r="N30" i="12"/>
  <c r="O17" i="12"/>
  <c r="N18" i="12"/>
  <c r="C108" i="8"/>
  <c r="D4" i="13"/>
  <c r="D7" i="13"/>
  <c r="D6" i="13"/>
  <c r="D13" i="13"/>
  <c r="D5" i="13"/>
  <c r="E5" i="13" s="1"/>
  <c r="D11" i="13"/>
  <c r="D12" i="13"/>
  <c r="D10" i="13"/>
  <c r="D9" i="13"/>
  <c r="D8" i="13"/>
  <c r="E8" i="13" s="1"/>
  <c r="H63" i="8"/>
  <c r="H69" i="8" s="1"/>
  <c r="O34" i="12"/>
  <c r="O31" i="12"/>
  <c r="N31" i="12"/>
  <c r="O18" i="12"/>
  <c r="G63" i="8"/>
  <c r="G69" i="8" s="1"/>
  <c r="C63" i="8"/>
  <c r="C69" i="8" s="1"/>
  <c r="E108" i="8"/>
  <c r="N9" i="12"/>
  <c r="O9" i="12"/>
  <c r="N34" i="12"/>
  <c r="O33" i="12"/>
  <c r="O28" i="12"/>
  <c r="N27" i="12"/>
  <c r="O27" i="12"/>
  <c r="D6" i="12"/>
  <c r="D18" i="8"/>
  <c r="D29" i="8"/>
  <c r="G17" i="8"/>
  <c r="G26" i="8" s="1"/>
  <c r="G13" i="8"/>
  <c r="J17" i="8"/>
  <c r="J26" i="8" s="1"/>
  <c r="J13" i="8"/>
  <c r="C13" i="8"/>
  <c r="C17" i="8"/>
  <c r="C26" i="8" s="1"/>
  <c r="I18" i="8"/>
  <c r="I29" i="8"/>
  <c r="M29" i="8"/>
  <c r="M18" i="8"/>
  <c r="O29" i="12"/>
  <c r="N29" i="12"/>
  <c r="H13" i="8"/>
  <c r="H17" i="8"/>
  <c r="H26" i="8" s="1"/>
  <c r="E63" i="8"/>
  <c r="E69" i="8" s="1"/>
  <c r="E71" i="8" s="1"/>
  <c r="O5" i="12"/>
  <c r="N5" i="12"/>
  <c r="K63" i="8"/>
  <c r="K69" i="8" s="1"/>
  <c r="F36" i="8"/>
  <c r="K13" i="8"/>
  <c r="K17" i="8"/>
  <c r="K26" i="8" s="1"/>
  <c r="N33" i="12"/>
  <c r="J63" i="8"/>
  <c r="J69" i="8" s="1"/>
  <c r="L13" i="8"/>
  <c r="L17" i="8"/>
  <c r="L26" i="8" s="1"/>
  <c r="F63" i="8"/>
  <c r="F69" i="8" s="1"/>
  <c r="E6" i="12"/>
  <c r="E29" i="8"/>
  <c r="E18" i="8"/>
  <c r="L17" i="13"/>
  <c r="G17" i="13"/>
  <c r="C6" i="3"/>
  <c r="D6" i="3"/>
  <c r="E6" i="3"/>
  <c r="F6" i="3"/>
  <c r="G6" i="3"/>
  <c r="H6" i="3"/>
  <c r="I6" i="3"/>
  <c r="L6" i="1" s="1"/>
  <c r="J6" i="3"/>
  <c r="K6" i="3"/>
  <c r="B6" i="3"/>
  <c r="C5" i="1"/>
  <c r="D5" i="1"/>
  <c r="E5" i="1"/>
  <c r="F5" i="1"/>
  <c r="G5" i="1"/>
  <c r="H5" i="1"/>
  <c r="I5" i="1"/>
  <c r="J5" i="1"/>
  <c r="K5" i="1"/>
  <c r="B5" i="1"/>
  <c r="F13" i="1"/>
  <c r="G13" i="1"/>
  <c r="G14" i="1" s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F21" i="2" s="1"/>
  <c r="G18" i="2"/>
  <c r="H18" i="2"/>
  <c r="I18" i="2"/>
  <c r="J18" i="2"/>
  <c r="K18" i="2"/>
  <c r="B17" i="2"/>
  <c r="C4" i="2"/>
  <c r="D4" i="2"/>
  <c r="E24" i="2" s="1"/>
  <c r="E4" i="2"/>
  <c r="E5" i="2"/>
  <c r="F4" i="2"/>
  <c r="G4" i="2"/>
  <c r="H4" i="2"/>
  <c r="I4" i="2"/>
  <c r="I5" i="2"/>
  <c r="J4" i="2"/>
  <c r="J5" i="2"/>
  <c r="K4" i="2"/>
  <c r="C5" i="2"/>
  <c r="D5" i="2"/>
  <c r="F5" i="2"/>
  <c r="F23" i="2" s="1"/>
  <c r="G5" i="2"/>
  <c r="G23" i="2" s="1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H14" i="3" s="1"/>
  <c r="I4" i="3"/>
  <c r="I14" i="3" s="1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L10" i="1" s="1"/>
  <c r="C11" i="3"/>
  <c r="D11" i="3"/>
  <c r="E11" i="3"/>
  <c r="F11" i="3"/>
  <c r="G11" i="3"/>
  <c r="H11" i="3"/>
  <c r="I11" i="3"/>
  <c r="J11" i="3"/>
  <c r="L11" i="1" s="1"/>
  <c r="K11" i="3"/>
  <c r="C12" i="3"/>
  <c r="D12" i="3"/>
  <c r="E12" i="3"/>
  <c r="F12" i="3"/>
  <c r="G12" i="3"/>
  <c r="H12" i="3"/>
  <c r="I12" i="3"/>
  <c r="L12" i="1" s="1"/>
  <c r="L13" i="1" s="1"/>
  <c r="L14" i="1" s="1"/>
  <c r="L25" i="1" s="1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G6" i="1" s="1"/>
  <c r="G19" i="1" s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E23" i="2" s="1"/>
  <c r="F12" i="1"/>
  <c r="G12" i="1"/>
  <c r="H12" i="1"/>
  <c r="H13" i="1" s="1"/>
  <c r="I12" i="1"/>
  <c r="I13" i="1" s="1"/>
  <c r="J12" i="1"/>
  <c r="J13" i="1" s="1"/>
  <c r="J14" i="1" s="1"/>
  <c r="K12" i="1"/>
  <c r="K13" i="1" s="1"/>
  <c r="C15" i="1"/>
  <c r="D15" i="1"/>
  <c r="E15" i="1"/>
  <c r="F15" i="1"/>
  <c r="F14" i="1" s="1"/>
  <c r="G15" i="1"/>
  <c r="H15" i="1"/>
  <c r="I15" i="1"/>
  <c r="J15" i="1"/>
  <c r="K15" i="1"/>
  <c r="K14" i="1" s="1"/>
  <c r="B15" i="1"/>
  <c r="B7" i="1"/>
  <c r="B4" i="1"/>
  <c r="B20" i="2" s="1"/>
  <c r="A1" i="1"/>
  <c r="A1" i="3" s="1"/>
  <c r="E1" i="6"/>
  <c r="H1" i="1" s="1"/>
  <c r="H16" i="2"/>
  <c r="D16" i="2"/>
  <c r="C23" i="2"/>
  <c r="K16" i="2"/>
  <c r="C16" i="2"/>
  <c r="F16" i="2"/>
  <c r="D23" i="2"/>
  <c r="I6" i="1"/>
  <c r="I19" i="1" s="1"/>
  <c r="J6" i="1"/>
  <c r="J19" i="1"/>
  <c r="K6" i="1"/>
  <c r="K19" i="1" s="1"/>
  <c r="C6" i="1"/>
  <c r="C19" i="1"/>
  <c r="D6" i="1"/>
  <c r="D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G14" i="3"/>
  <c r="G20" i="2"/>
  <c r="K20" i="2"/>
  <c r="D20" i="2"/>
  <c r="J20" i="2"/>
  <c r="C20" i="2"/>
  <c r="E20" i="2"/>
  <c r="A1" i="2"/>
  <c r="A1" i="4"/>
  <c r="H23" i="1"/>
  <c r="I23" i="1"/>
  <c r="E65" i="14" l="1"/>
  <c r="I68" i="14"/>
  <c r="I67" i="14"/>
  <c r="F30" i="8"/>
  <c r="F39" i="8"/>
  <c r="N38" i="12"/>
  <c r="F43" i="8"/>
  <c r="N40" i="12"/>
  <c r="N36" i="12"/>
  <c r="O38" i="12"/>
  <c r="E10" i="13"/>
  <c r="E12" i="13"/>
  <c r="J71" i="8"/>
  <c r="I30" i="8"/>
  <c r="I38" i="8"/>
  <c r="I36" i="8"/>
  <c r="G71" i="8"/>
  <c r="K71" i="8"/>
  <c r="J6" i="12"/>
  <c r="J29" i="8"/>
  <c r="J18" i="8"/>
  <c r="H6" i="12"/>
  <c r="H18" i="8"/>
  <c r="H29" i="8"/>
  <c r="I7" i="12" s="1"/>
  <c r="E11" i="13"/>
  <c r="K6" i="12"/>
  <c r="K18" i="8"/>
  <c r="K29" i="8"/>
  <c r="G6" i="12"/>
  <c r="G18" i="8"/>
  <c r="G29" i="8"/>
  <c r="F71" i="8"/>
  <c r="I6" i="12"/>
  <c r="D30" i="8"/>
  <c r="D38" i="8"/>
  <c r="D36" i="8"/>
  <c r="H71" i="8"/>
  <c r="E13" i="13"/>
  <c r="E6" i="13"/>
  <c r="L6" i="12"/>
  <c r="L18" i="8"/>
  <c r="L29" i="8"/>
  <c r="I4" i="13" a="1"/>
  <c r="C18" i="8"/>
  <c r="C29" i="8"/>
  <c r="C71" i="8"/>
  <c r="E7" i="13"/>
  <c r="E7" i="12"/>
  <c r="E30" i="8"/>
  <c r="E36" i="8"/>
  <c r="E38" i="8"/>
  <c r="F7" i="12"/>
  <c r="M30" i="8"/>
  <c r="M38" i="8"/>
  <c r="M36" i="8"/>
  <c r="N11" i="12"/>
  <c r="O11" i="12"/>
  <c r="O36" i="12"/>
  <c r="E9" i="13"/>
  <c r="D15" i="13"/>
  <c r="D14" i="13"/>
  <c r="E14" i="13" s="1"/>
  <c r="D16" i="13"/>
  <c r="D17" i="13"/>
  <c r="D18" i="13"/>
  <c r="L18" i="13"/>
  <c r="G18" i="13"/>
  <c r="N11" i="1"/>
  <c r="M11" i="1"/>
  <c r="H23" i="2"/>
  <c r="D24" i="2"/>
  <c r="D14" i="1"/>
  <c r="I24" i="2"/>
  <c r="J24" i="2"/>
  <c r="L4" i="1"/>
  <c r="L23" i="1" s="1"/>
  <c r="E6" i="1"/>
  <c r="E19" i="1" s="1"/>
  <c r="H24" i="1" s="1"/>
  <c r="K23" i="2"/>
  <c r="I14" i="1"/>
  <c r="K25" i="1" s="1"/>
  <c r="M25" i="1" s="1"/>
  <c r="M14" i="1" s="1"/>
  <c r="C24" i="2"/>
  <c r="H24" i="2"/>
  <c r="J23" i="1"/>
  <c r="B23" i="2"/>
  <c r="H14" i="1"/>
  <c r="G24" i="2"/>
  <c r="D13" i="1"/>
  <c r="E13" i="1" s="1"/>
  <c r="E14" i="1" s="1"/>
  <c r="K24" i="1"/>
  <c r="J23" i="2"/>
  <c r="E21" i="2"/>
  <c r="E1" i="3"/>
  <c r="B14" i="1"/>
  <c r="I16" i="2"/>
  <c r="K24" i="2"/>
  <c r="E1" i="2"/>
  <c r="I23" i="2"/>
  <c r="F24" i="2"/>
  <c r="J25" i="1"/>
  <c r="M9" i="1"/>
  <c r="N9" i="1"/>
  <c r="N8" i="1"/>
  <c r="M8" i="1"/>
  <c r="N23" i="1"/>
  <c r="N4" i="1" s="1"/>
  <c r="I20" i="2"/>
  <c r="H20" i="2"/>
  <c r="K23" i="1"/>
  <c r="M23" i="1" s="1"/>
  <c r="M4" i="1" s="1"/>
  <c r="H6" i="1"/>
  <c r="H19" i="1" s="1"/>
  <c r="J24" i="1" s="1"/>
  <c r="F6" i="1"/>
  <c r="F19" i="1" s="1"/>
  <c r="I24" i="1" s="1"/>
  <c r="E1" i="4"/>
  <c r="N6" i="12" l="1"/>
  <c r="E18" i="13"/>
  <c r="O6" i="12"/>
  <c r="O39" i="12"/>
  <c r="N39" i="12"/>
  <c r="L7" i="12"/>
  <c r="L30" i="8"/>
  <c r="L36" i="8"/>
  <c r="L38" i="8"/>
  <c r="E15" i="13"/>
  <c r="D43" i="8"/>
  <c r="D39" i="8"/>
  <c r="D47" i="8"/>
  <c r="D49" i="8" s="1"/>
  <c r="G7" i="12"/>
  <c r="G30" i="8"/>
  <c r="G36" i="8"/>
  <c r="G38" i="8"/>
  <c r="I39" i="8"/>
  <c r="I43" i="8"/>
  <c r="I47" i="8"/>
  <c r="I49" i="8" s="1"/>
  <c r="E8" i="12"/>
  <c r="E43" i="8"/>
  <c r="E39" i="8"/>
  <c r="E47" i="8"/>
  <c r="E49" i="8" s="1"/>
  <c r="F8" i="12"/>
  <c r="C30" i="8"/>
  <c r="C38" i="8"/>
  <c r="D8" i="12" s="1"/>
  <c r="C36" i="8"/>
  <c r="N12" i="12"/>
  <c r="O12" i="12"/>
  <c r="I4" i="13"/>
  <c r="I6" i="13"/>
  <c r="I13" i="13"/>
  <c r="I5" i="13"/>
  <c r="I11" i="13"/>
  <c r="I12" i="13"/>
  <c r="I10" i="13"/>
  <c r="I9" i="13"/>
  <c r="I8" i="13"/>
  <c r="I7" i="13"/>
  <c r="J7" i="13" s="1"/>
  <c r="D7" i="12"/>
  <c r="O25" i="12"/>
  <c r="N25" i="12"/>
  <c r="J7" i="12"/>
  <c r="J30" i="8"/>
  <c r="J36" i="8"/>
  <c r="J38" i="8"/>
  <c r="E16" i="13"/>
  <c r="M43" i="8"/>
  <c r="M39" i="8"/>
  <c r="M47" i="8"/>
  <c r="M49" i="8" s="1"/>
  <c r="N21" i="12"/>
  <c r="O21" i="12"/>
  <c r="K7" i="12"/>
  <c r="K30" i="8"/>
  <c r="K36" i="8"/>
  <c r="K38" i="8"/>
  <c r="E17" i="13"/>
  <c r="O13" i="12"/>
  <c r="N13" i="12"/>
  <c r="H7" i="12"/>
  <c r="H30" i="8"/>
  <c r="H36" i="8"/>
  <c r="H38" i="8"/>
  <c r="I25" i="1"/>
  <c r="H25" i="1"/>
  <c r="N25" i="1" s="1"/>
  <c r="N14" i="1" s="1"/>
  <c r="L19" i="1"/>
  <c r="L24" i="1" s="1"/>
  <c r="M24" i="1" s="1"/>
  <c r="M6" i="1" s="1"/>
  <c r="M10" i="1" s="1"/>
  <c r="M12" i="1" s="1"/>
  <c r="M13" i="1" s="1"/>
  <c r="M15" i="1" s="1"/>
  <c r="J11" i="13" l="1"/>
  <c r="J5" i="13"/>
  <c r="J12" i="13"/>
  <c r="L8" i="12"/>
  <c r="L39" i="8"/>
  <c r="L43" i="8"/>
  <c r="L47" i="8"/>
  <c r="L49" i="8" s="1"/>
  <c r="N7" i="12"/>
  <c r="O7" i="12"/>
  <c r="O14" i="12"/>
  <c r="N14" i="12"/>
  <c r="J8" i="13"/>
  <c r="I17" i="13"/>
  <c r="I16" i="13"/>
  <c r="I15" i="13"/>
  <c r="I14" i="13"/>
  <c r="J14" i="13" s="1"/>
  <c r="I18" i="13"/>
  <c r="J9" i="13"/>
  <c r="H8" i="12"/>
  <c r="H39" i="8"/>
  <c r="H43" i="8"/>
  <c r="H47" i="8"/>
  <c r="H49" i="8" s="1"/>
  <c r="K8" i="12"/>
  <c r="K39" i="8"/>
  <c r="K43" i="8"/>
  <c r="K47" i="8"/>
  <c r="K49" i="8" s="1"/>
  <c r="C39" i="8"/>
  <c r="C43" i="8"/>
  <c r="C47" i="8"/>
  <c r="C49" i="8" s="1"/>
  <c r="J13" i="13"/>
  <c r="J8" i="12"/>
  <c r="J39" i="8"/>
  <c r="J43" i="8"/>
  <c r="J44" i="8" s="1"/>
  <c r="J47" i="8"/>
  <c r="J49" i="8" s="1"/>
  <c r="J6" i="13"/>
  <c r="I8" i="12"/>
  <c r="O19" i="12"/>
  <c r="N19" i="12"/>
  <c r="J10" i="13"/>
  <c r="E44" i="8"/>
  <c r="F44" i="8"/>
  <c r="G8" i="12"/>
  <c r="G43" i="8"/>
  <c r="G44" i="8" s="1"/>
  <c r="G39" i="8"/>
  <c r="G47" i="8"/>
  <c r="G49" i="8" s="1"/>
  <c r="N24" i="1"/>
  <c r="N6" i="1" s="1"/>
  <c r="M5" i="1"/>
  <c r="N8" i="12" l="1"/>
  <c r="N4" i="13" a="1"/>
  <c r="N8" i="13" s="1"/>
  <c r="L44" i="8"/>
  <c r="O15" i="12"/>
  <c r="N15" i="12"/>
  <c r="I44" i="8"/>
  <c r="H44" i="8"/>
  <c r="N23" i="12"/>
  <c r="O23" i="12"/>
  <c r="M44" i="8"/>
  <c r="O8" i="12"/>
  <c r="J15" i="13"/>
  <c r="J16" i="13"/>
  <c r="J17" i="13"/>
  <c r="K44" i="8"/>
  <c r="D44" i="8"/>
  <c r="N22" i="12"/>
  <c r="O22" i="12"/>
  <c r="J18" i="13"/>
  <c r="N10" i="1"/>
  <c r="N12" i="1" s="1"/>
  <c r="N13" i="1" s="1"/>
  <c r="N15" i="1" s="1"/>
  <c r="N5" i="1"/>
  <c r="N9" i="13" l="1"/>
  <c r="O9" i="13" s="1"/>
  <c r="N13" i="13"/>
  <c r="N12" i="13"/>
  <c r="O13" i="13" s="1"/>
  <c r="N6" i="13"/>
  <c r="N5" i="13"/>
  <c r="N11" i="13"/>
  <c r="O12" i="13" s="1"/>
  <c r="N7" i="13"/>
  <c r="O8" i="13" s="1"/>
  <c r="N4" i="13"/>
  <c r="N10" i="13"/>
  <c r="O10" i="13" s="1"/>
  <c r="O24" i="12"/>
  <c r="N24" i="12"/>
  <c r="N15" i="13" l="1"/>
  <c r="N14" i="13"/>
  <c r="O14" i="13" s="1"/>
  <c r="N16" i="13"/>
  <c r="O16" i="13" s="1"/>
  <c r="N17" i="13"/>
  <c r="O6" i="13"/>
  <c r="N18" i="13"/>
  <c r="O5" i="13"/>
  <c r="O11" i="13"/>
  <c r="O7" i="13"/>
  <c r="O18" i="13" l="1"/>
  <c r="O17" i="13"/>
  <c r="O15" i="13"/>
</calcChain>
</file>

<file path=xl/sharedStrings.xml><?xml version="1.0" encoding="utf-8"?>
<sst xmlns="http://schemas.openxmlformats.org/spreadsheetml/2006/main" count="525" uniqueCount="335">
  <si>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</si>
  <si>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</si>
  <si>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</si>
  <si>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</si>
  <si>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</si>
  <si>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</si>
  <si>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</si>
  <si>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</si>
  <si>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</si>
  <si>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</si>
  <si>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</si>
  <si>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</si>
  <si>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</si>
  <si>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</si>
  <si>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</si>
  <si>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</si>
  <si>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</si>
  <si>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</si>
  <si>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</si>
  <si>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</si>
  <si>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</si>
  <si>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</si>
  <si>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</si>
  <si>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</si>
  <si>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</si>
  <si>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</si>
  <si>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</si>
  <si>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</si>
  <si>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</si>
  <si>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</si>
  <si>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</si>
  <si>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</si>
  <si>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</si>
  <si>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</si>
  <si>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</si>
  <si>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</si>
  <si>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</si>
  <si>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</si>
  <si>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</si>
  <si>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</si>
  <si>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</si>
  <si>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</si>
  <si>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</si>
  <si>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</si>
  <si>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</si>
  <si>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</si>
  <si>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</si>
  <si>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</si>
  <si>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</si>
  <si>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</si>
  <si>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</si>
  <si>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</si>
  <si>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</si>
  <si>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</si>
  <si>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</si>
  <si>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</si>
  <si>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</si>
  <si>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</si>
  <si>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</si>
  <si>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</si>
  <si>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</si>
  <si>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</si>
  <si>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</si>
  <si>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EICHER MOTORS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</si>
  <si>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</si>
  <si>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</si>
  <si>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</si>
  <si>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</si>
  <si>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</si>
  <si>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</si>
  <si>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</si>
  <si>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</si>
  <si>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</si>
  <si>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</si>
  <si>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</si>
  <si>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</si>
  <si>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</si>
  <si>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</si>
  <si>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</si>
  <si>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</si>
  <si>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</si>
  <si>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</si>
  <si>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</si>
  <si>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</si>
  <si>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</si>
  <si>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</si>
  <si>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</si>
  <si>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</si>
  <si>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</si>
  <si>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</si>
  <si>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</si>
  <si>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</si>
  <si>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</si>
  <si>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</si>
  <si>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</si>
  <si>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#</t>
  </si>
  <si>
    <t>Income Statement</t>
  </si>
  <si>
    <t>-</t>
  </si>
  <si>
    <t>COGS</t>
  </si>
  <si>
    <t>COGS %of Sales</t>
  </si>
  <si>
    <t>Gross Profit</t>
  </si>
  <si>
    <t>Gross Margin</t>
  </si>
  <si>
    <t>Selling &amp; General Expenses</t>
  </si>
  <si>
    <t>EBIDTA</t>
  </si>
  <si>
    <t>EBIDTA Margin</t>
  </si>
  <si>
    <t>Intreste</t>
  </si>
  <si>
    <t>Intreste%of sales</t>
  </si>
  <si>
    <t>Depreciation%of sales</t>
  </si>
  <si>
    <t>Earing Before Tax</t>
  </si>
  <si>
    <t>EBT % of sales</t>
  </si>
  <si>
    <t>Effective Tax Rate</t>
  </si>
  <si>
    <t xml:space="preserve">Other Income % Of sales </t>
  </si>
  <si>
    <t>Net Profit (PAT)</t>
  </si>
  <si>
    <t>Net Profit %of Sales</t>
  </si>
  <si>
    <t>No of Equity Shares</t>
  </si>
  <si>
    <t>Earning Per Share(EPS)</t>
  </si>
  <si>
    <t>EPS Growth</t>
  </si>
  <si>
    <t>Dividend Per shares</t>
  </si>
  <si>
    <t>Retained Earing</t>
  </si>
  <si>
    <t>Balace Sheet</t>
  </si>
  <si>
    <t>Total Liabilities</t>
  </si>
  <si>
    <t>Total Non- Current Assets</t>
  </si>
  <si>
    <t>Fix Assets Net Block</t>
  </si>
  <si>
    <t>Total Current Assets</t>
  </si>
  <si>
    <t xml:space="preserve">Total Assets </t>
  </si>
  <si>
    <t>Check</t>
  </si>
  <si>
    <t>Cash Flow Statement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</si>
  <si>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</si>
  <si>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</si>
  <si>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</si>
  <si>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</si>
  <si>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</si>
  <si>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</si>
  <si>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</si>
  <si>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</si>
  <si>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</si>
  <si>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</si>
  <si>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</si>
  <si>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</si>
  <si>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</si>
  <si>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</si>
  <si>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</si>
  <si>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</si>
  <si>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</si>
  <si>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</si>
  <si>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</si>
  <si>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</si>
  <si>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</si>
  <si>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</si>
  <si>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</si>
  <si>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</si>
  <si>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Operating Activity </t>
  </si>
  <si>
    <t xml:space="preserve">Investing Activity </t>
  </si>
  <si>
    <t xml:space="preserve">Cash from Financing Activity </t>
  </si>
  <si>
    <t>Cash from Operating Activity (A)</t>
  </si>
  <si>
    <t>Cash from Investing Activity (B)</t>
  </si>
  <si>
    <t>Cash from Financing Activity ©</t>
  </si>
  <si>
    <t>Net Cash Flow (A+B+C)</t>
  </si>
  <si>
    <t>EBITDA Growth</t>
  </si>
  <si>
    <t>EBIT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</si>
  <si>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</si>
  <si>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</si>
  <si>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</si>
  <si>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</si>
  <si>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</si>
  <si>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</si>
  <si>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</si>
  <si>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</si>
  <si>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</si>
  <si>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</si>
  <si>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</si>
  <si>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</si>
  <si>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</si>
  <si>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</si>
  <si>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</si>
  <si>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</si>
  <si>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Fixed Asset Turnover</t>
  </si>
  <si>
    <t>Capital Turnover Ratio</t>
  </si>
  <si>
    <t>Payable Days</t>
  </si>
  <si>
    <t>Inventory Days</t>
  </si>
  <si>
    <t>Cash Conversion Cycle (in days)</t>
  </si>
  <si>
    <t>CFO/Sales</t>
  </si>
  <si>
    <t>CFO/Total Assets</t>
  </si>
  <si>
    <t>CFO/Total Debt</t>
  </si>
  <si>
    <t>Trend</t>
  </si>
  <si>
    <t>Mean</t>
  </si>
  <si>
    <t>Median</t>
  </si>
  <si>
    <t>Year Weighted</t>
  </si>
  <si>
    <t>Dividend Peyout % of PAT</t>
  </si>
  <si>
    <t>Equity Capital</t>
  </si>
  <si>
    <t>Borrowings -</t>
  </si>
  <si>
    <t>Long term Borrowings</t>
  </si>
  <si>
    <t>Short term Borrowings</t>
  </si>
  <si>
    <t>Lease Liabilities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</si>
  <si>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</si>
  <si>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</si>
  <si>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</si>
  <si>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</si>
  <si>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</si>
  <si>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</si>
  <si>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</si>
  <si>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</si>
  <si>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</si>
  <si>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</si>
  <si>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</si>
  <si>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</si>
  <si>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</si>
  <si>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</si>
  <si>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</si>
  <si>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</si>
  <si>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</si>
  <si>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</si>
  <si>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</si>
  <si>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</si>
  <si>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</si>
  <si>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Total Assets</t>
  </si>
  <si>
    <t>Particulars</t>
  </si>
  <si>
    <t xml:space="preserve"> </t>
  </si>
  <si>
    <t>Current Liabilities -</t>
  </si>
  <si>
    <t>Net Block (Non Current Assets)</t>
  </si>
  <si>
    <t>Earning Before Intreste and Tax</t>
  </si>
  <si>
    <t>EBIT % OF SALES</t>
  </si>
  <si>
    <t xml:space="preserve">Current Assets </t>
  </si>
  <si>
    <t xml:space="preserve">Total Current Assets </t>
  </si>
  <si>
    <t>Current Liblities</t>
  </si>
  <si>
    <t>Net Working Capital</t>
  </si>
  <si>
    <t xml:space="preserve">Net Non - Current Assets </t>
  </si>
  <si>
    <t>Invested Capital</t>
  </si>
  <si>
    <t>EBIT</t>
  </si>
  <si>
    <t>ROIC</t>
  </si>
  <si>
    <t>Calculation of ROIC</t>
  </si>
  <si>
    <t>Calculation Reinvetment Rate</t>
  </si>
  <si>
    <t>Capital Expenditure</t>
  </si>
  <si>
    <t xml:space="preserve"> Operating Activity -</t>
  </si>
  <si>
    <t>Investing Activity -</t>
  </si>
  <si>
    <t>Financing Activity -</t>
  </si>
  <si>
    <t>Balance sheet Eicher Motors Ltd</t>
  </si>
  <si>
    <t>Change in Working Capital</t>
  </si>
  <si>
    <t>Net Capex</t>
  </si>
  <si>
    <t>Marginal Rate</t>
  </si>
  <si>
    <t>EBIT(1-Tax)</t>
  </si>
  <si>
    <t>Reinvestment Rate</t>
  </si>
  <si>
    <t>Intrinsic Growth Rate</t>
  </si>
  <si>
    <t>4 Year Avereage</t>
  </si>
  <si>
    <t>4 Years Median</t>
  </si>
  <si>
    <t>Calculation Of Growth Rate</t>
  </si>
  <si>
    <t>Reinvestment  Amount</t>
  </si>
  <si>
    <t xml:space="preserve">Intrinsic Growth Rate (IGR) Calculation </t>
  </si>
  <si>
    <t xml:space="preserve">Calculation of PV of Future Cashflow </t>
  </si>
  <si>
    <t xml:space="preserve">EBIT </t>
  </si>
  <si>
    <t>EBIT*(1-Tax Rate)</t>
  </si>
  <si>
    <t>Tax Rate</t>
  </si>
  <si>
    <t xml:space="preserve">Reinvested Rate </t>
  </si>
  <si>
    <t>FCFF</t>
  </si>
  <si>
    <t>Discounted Factors</t>
  </si>
  <si>
    <t>PV of Future CashFlow</t>
  </si>
  <si>
    <t xml:space="preserve">Mid Year Convention </t>
  </si>
  <si>
    <t>Rm</t>
  </si>
  <si>
    <t>Add Dividend Yield</t>
  </si>
  <si>
    <t>25-Year Average Return</t>
  </si>
  <si>
    <t>Annual</t>
  </si>
  <si>
    <t>Year</t>
  </si>
  <si>
    <t>Visit Prime investors.in</t>
  </si>
  <si>
    <t>Hero Motocorp</t>
  </si>
  <si>
    <t>TVS Motor Co.</t>
  </si>
  <si>
    <t>Eicher Motors</t>
  </si>
  <si>
    <t>Bajaj Auto</t>
  </si>
  <si>
    <t>Eq Cap Rs.Cr.</t>
  </si>
  <si>
    <t>Debt / Eq</t>
  </si>
  <si>
    <t>Debt Rs.Cr.</t>
  </si>
  <si>
    <t xml:space="preserve">Mar Cap Rs.Cr. </t>
  </si>
  <si>
    <t>CMP Rs.</t>
  </si>
  <si>
    <t>Name</t>
  </si>
  <si>
    <t>S.No.</t>
  </si>
  <si>
    <t>Automobile Industry peers in India ( From screener .in)</t>
  </si>
  <si>
    <t>WACC</t>
  </si>
  <si>
    <t>Debt Weight</t>
  </si>
  <si>
    <t>Cost of Debt</t>
  </si>
  <si>
    <t xml:space="preserve">Equity Weight </t>
  </si>
  <si>
    <t xml:space="preserve">Cost of Equity </t>
  </si>
  <si>
    <t>Weighted Average Cost of Capital</t>
  </si>
  <si>
    <t>Debt / Equity</t>
  </si>
  <si>
    <t>Levered Beta</t>
  </si>
  <si>
    <t>Total Capital</t>
  </si>
  <si>
    <t>Target Debt/Equity</t>
  </si>
  <si>
    <t>Total Debt</t>
  </si>
  <si>
    <t>Comps Median Unlevered Beta</t>
  </si>
  <si>
    <t>Target</t>
  </si>
  <si>
    <t xml:space="preserve">Current </t>
  </si>
  <si>
    <t xml:space="preserve">Capital Structure </t>
  </si>
  <si>
    <t>Cost Of Equity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</si>
  <si>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</si>
  <si>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 xml:space="preserve">Post Tax Cost of Debt </t>
  </si>
  <si>
    <t>Equity Risk Premium</t>
  </si>
  <si>
    <t>Tax rate</t>
  </si>
  <si>
    <t>Risk Free Rate</t>
  </si>
  <si>
    <t xml:space="preserve">Pre-Tax Cost of Debt </t>
  </si>
  <si>
    <t xml:space="preserve">Cost of Debt </t>
  </si>
  <si>
    <t xml:space="preserve">Average </t>
  </si>
  <si>
    <t>India</t>
  </si>
  <si>
    <r>
      <t xml:space="preserve">Beta </t>
    </r>
    <r>
      <rPr>
        <b/>
        <vertAlign val="superscript"/>
        <sz val="11"/>
        <color theme="1"/>
        <rFont val="Calibri"/>
        <family val="2"/>
      </rPr>
      <t>3</t>
    </r>
  </si>
  <si>
    <r>
      <t xml:space="preserve">Beta </t>
    </r>
    <r>
      <rPr>
        <b/>
        <vertAlign val="superscript"/>
        <sz val="11"/>
        <color theme="1"/>
        <rFont val="Calibri"/>
        <family val="2"/>
      </rPr>
      <t>2</t>
    </r>
  </si>
  <si>
    <t>Capital</t>
  </si>
  <si>
    <t>Equity</t>
  </si>
  <si>
    <r>
      <t xml:space="preserve">Tax Rate </t>
    </r>
    <r>
      <rPr>
        <b/>
        <vertAlign val="superscript"/>
        <sz val="11"/>
        <color theme="1"/>
        <rFont val="Calibri"/>
        <family val="2"/>
      </rPr>
      <t>1</t>
    </r>
  </si>
  <si>
    <t xml:space="preserve">Total Equity </t>
  </si>
  <si>
    <t xml:space="preserve">Country </t>
  </si>
  <si>
    <t>Name of The comps</t>
  </si>
  <si>
    <t xml:space="preserve">Unlevered </t>
  </si>
  <si>
    <t xml:space="preserve">levered </t>
  </si>
  <si>
    <t>Debt /</t>
  </si>
  <si>
    <t>Debt/</t>
  </si>
  <si>
    <t>Weekly - Two Year Range</t>
  </si>
  <si>
    <t>Peer Comparable WACC</t>
  </si>
  <si>
    <t>WACC- Weighted Average Cost of Capital</t>
  </si>
  <si>
    <t>Expected Growth</t>
  </si>
  <si>
    <t>Terminal Growth</t>
  </si>
  <si>
    <t>Calculation of Terminal Value</t>
  </si>
  <si>
    <t>FCFF (n+1)</t>
  </si>
  <si>
    <t>Terminal Growth Rate</t>
  </si>
  <si>
    <t>Terminal Value</t>
  </si>
  <si>
    <t>Calculation of Equity Value per Share</t>
  </si>
  <si>
    <t>PV of FCFF</t>
  </si>
  <si>
    <t>PV of Terminal Value</t>
  </si>
  <si>
    <t>Value of Operating Assets</t>
  </si>
  <si>
    <t>Add: Cash</t>
  </si>
  <si>
    <t>Less: Debt</t>
  </si>
  <si>
    <t>Value of Equity</t>
  </si>
  <si>
    <t>No of Shares</t>
  </si>
  <si>
    <t>Share Price Value</t>
  </si>
  <si>
    <t>EQUITY VALUVATION</t>
  </si>
  <si>
    <t>Discount/Premium</t>
  </si>
  <si>
    <t>Share price</t>
  </si>
  <si>
    <t>Perticular</t>
  </si>
  <si>
    <t>Common Size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</si>
</sst>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7" formatCode="&quot;₹&quot;\ #,##0.00;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\-#,##0.0\);\-"/>
    <numFmt numFmtId="167" formatCode="0.0%"/>
    <numFmt numFmtId="168" formatCode="0\x"/>
    <numFmt numFmtId="169" formatCode="yyyy"/>
    <numFmt numFmtId="170" formatCode="yyyy&quot;A&quot;"/>
    <numFmt numFmtId="171" formatCode="yyyy&quot;E&quot;"/>
    <numFmt numFmtId="172" formatCode="&quot;₹&quot;\ #,##0.0"/>
    <numFmt numFmtId="173" formatCode="#,##0.0;\(#,##0.0\);\-"/>
    <numFmt numFmtId="174" formatCode="#,##0.0"/>
    <numFmt numFmtId="175" formatCode="0.000"/>
    <numFmt numFmtId="176" formatCode="0.0"/>
    <numFmt numFmtId="177" formatCode="_ * #,##0_ ;_ * \-#,##0_ ;_ * &quot;-&quot;??_ ;_ @_ "/>
    <numFmt numFmtId="178" formatCode="_ * #,##0.000_ ;_ * \-#,##0.000_ ;_ * &quot;-&quot;??_ ;_ @_ "/>
    <numFmt numFmtId="179" formatCode="mmm/yy&quot;A&quot;"/>
    <numFmt numFmtId="180" formatCode="mmm/yy&quot;F&quot;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  <font>
      <sz val="11"/>
      <color rgb="FF0033CC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3333FF"/>
      <name val="Calibri"/>
      <family val="2"/>
    </font>
    <font>
      <b/>
      <vertAlign val="superscript"/>
      <sz val="11"/>
      <color theme="1"/>
      <name val="Calibri"/>
      <family val="2"/>
    </font>
    <font>
      <i/>
      <sz val="10"/>
      <color rgb="FF212529"/>
      <name val="Roboto"/>
    </font>
    <font>
      <b/>
      <sz val="16"/>
      <color theme="0"/>
      <name val="Calibri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b/>
      <sz val="11"/>
      <name val="Calibri"/>
      <family val="2"/>
      <scheme val="minor"/>
    </font>
    <font>
      <sz val="11"/>
      <color theme="0"/>
      <name val="Calibri"/>
      <family val="2"/>
    </font>
    <font>
      <b/>
      <sz val="18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2060"/>
      </top>
      <bottom style="thick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rgb="FF002060"/>
      </top>
      <bottom style="double">
        <color rgb="FF002060"/>
      </bottom>
      <diagonal/>
    </border>
    <border>
      <left/>
      <right/>
      <top style="medium">
        <color rgb="FF002060"/>
      </top>
      <bottom style="double">
        <color rgb="FF002060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rgb="FF002060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31">
    <xf numFmtId="0" fontId="0" fillId="0" borderId="0" xfId="0"/>
    <xf numFmtId="43" fontId="2" fillId="0" borderId="0" xfId="1" applyFont="1" applyBorder="1"/>
    <xf numFmtId="0" fontId="2" fillId="0" borderId="0" xfId="0" applyFont="1"/>
    <xf numFmtId="0" fontId="9" fillId="0" borderId="0" xfId="0" applyFont="1"/>
    <xf numFmtId="43" fontId="0" fillId="0" borderId="0" xfId="1" applyFont="1" applyBorder="1"/>
    <xf numFmtId="10" fontId="0" fillId="0" borderId="0" xfId="0" applyNumberFormat="1"/>
    <xf numFmtId="43" fontId="4" fillId="0" borderId="0" xfId="1" applyFont="1" applyBorder="1"/>
    <xf numFmtId="9" fontId="4" fillId="0" borderId="0" xfId="1" applyNumberFormat="1" applyFont="1" applyBorder="1"/>
    <xf numFmtId="43" fontId="3" fillId="2" borderId="0" xfId="3" applyNumberFormat="1" applyFont="1" applyBorder="1"/>
    <xf numFmtId="43" fontId="3" fillId="3" borderId="0" xfId="4" applyNumberFormat="1" applyFont="1" applyBorder="1"/>
    <xf numFmtId="9" fontId="2" fillId="0" borderId="0" xfId="6" applyFont="1" applyBorder="1"/>
    <xf numFmtId="0" fontId="3" fillId="5" borderId="0" xfId="0" applyFont="1" applyFill="1"/>
    <xf numFmtId="165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10" fontId="2" fillId="0" borderId="0" xfId="0" applyNumberFormat="1" applyFont="1"/>
    <xf numFmtId="165" fontId="3" fillId="5" borderId="0" xfId="1" applyNumberFormat="1" applyFont="1" applyFill="1" applyBorder="1"/>
    <xf numFmtId="165" fontId="10" fillId="0" borderId="0" xfId="1" applyNumberFormat="1" applyFont="1" applyFill="1" applyBorder="1"/>
    <xf numFmtId="0" fontId="8" fillId="0" borderId="0" xfId="0" applyFont="1"/>
    <xf numFmtId="0" fontId="0" fillId="0" borderId="0" xfId="0" applyAlignment="1">
      <alignment horizontal="left"/>
    </xf>
    <xf numFmtId="0" fontId="7" fillId="0" borderId="0" xfId="2" applyFont="1" applyBorder="1" applyAlignment="1" applyProtection="1">
      <alignment horizontal="left"/>
    </xf>
    <xf numFmtId="0" fontId="7" fillId="0" borderId="0" xfId="2" applyFont="1" applyBorder="1" applyAlignment="1" applyProtection="1"/>
    <xf numFmtId="0" fontId="10" fillId="0" borderId="0" xfId="0" applyFont="1"/>
    <xf numFmtId="164" fontId="0" fillId="0" borderId="0" xfId="1" applyNumberFormat="1" applyFont="1" applyBorder="1"/>
    <xf numFmtId="17" fontId="0" fillId="0" borderId="0" xfId="0" applyNumberFormat="1"/>
    <xf numFmtId="0" fontId="0" fillId="6" borderId="0" xfId="0" applyFill="1"/>
    <xf numFmtId="0" fontId="3" fillId="6" borderId="0" xfId="0" applyFont="1" applyFill="1"/>
    <xf numFmtId="17" fontId="3" fillId="6" borderId="0" xfId="0" applyNumberFormat="1" applyFont="1" applyFill="1"/>
    <xf numFmtId="0" fontId="2" fillId="7" borderId="0" xfId="0" applyFont="1" applyFill="1"/>
    <xf numFmtId="166" fontId="0" fillId="0" borderId="0" xfId="0" applyNumberFormat="1"/>
    <xf numFmtId="0" fontId="11" fillId="0" borderId="0" xfId="0" applyFont="1"/>
    <xf numFmtId="10" fontId="12" fillId="0" borderId="0" xfId="6" applyNumberFormat="1" applyFont="1"/>
    <xf numFmtId="10" fontId="11" fillId="0" borderId="0" xfId="6" applyNumberFormat="1" applyFont="1" applyAlignment="1">
      <alignment horizontal="right"/>
    </xf>
    <xf numFmtId="7" fontId="0" fillId="0" borderId="0" xfId="0" applyNumberFormat="1"/>
    <xf numFmtId="0" fontId="13" fillId="0" borderId="0" xfId="0" applyFont="1"/>
    <xf numFmtId="3" fontId="0" fillId="0" borderId="0" xfId="0" applyNumberFormat="1"/>
    <xf numFmtId="166" fontId="2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0" fontId="0" fillId="0" borderId="1" xfId="6" applyNumberFormat="1" applyFont="1" applyBorder="1" applyAlignment="1">
      <alignment wrapText="1"/>
    </xf>
    <xf numFmtId="10" fontId="0" fillId="0" borderId="0" xfId="6" applyNumberFormat="1" applyFont="1" applyBorder="1" applyAlignment="1">
      <alignment wrapText="1"/>
    </xf>
    <xf numFmtId="0" fontId="0" fillId="0" borderId="2" xfId="0" applyBorder="1" applyAlignment="1">
      <alignment wrapText="1"/>
    </xf>
    <xf numFmtId="10" fontId="0" fillId="0" borderId="2" xfId="6" applyNumberFormat="1" applyFont="1" applyBorder="1" applyAlignment="1">
      <alignment wrapText="1"/>
    </xf>
    <xf numFmtId="168" fontId="0" fillId="0" borderId="2" xfId="6" applyNumberFormat="1" applyFont="1" applyBorder="1" applyAlignment="1">
      <alignment wrapText="1"/>
    </xf>
    <xf numFmtId="167" fontId="0" fillId="0" borderId="0" xfId="6" applyNumberFormat="1" applyFont="1"/>
    <xf numFmtId="168" fontId="0" fillId="0" borderId="1" xfId="0" applyNumberFormat="1" applyBorder="1" applyAlignment="1">
      <alignment wrapText="1"/>
    </xf>
    <xf numFmtId="168" fontId="0" fillId="0" borderId="0" xfId="0" applyNumberFormat="1" applyAlignment="1">
      <alignment wrapText="1"/>
    </xf>
    <xf numFmtId="168" fontId="0" fillId="0" borderId="2" xfId="0" applyNumberFormat="1" applyBorder="1" applyAlignment="1">
      <alignment wrapText="1"/>
    </xf>
    <xf numFmtId="0" fontId="0" fillId="0" borderId="1" xfId="0" applyBorder="1"/>
    <xf numFmtId="167" fontId="0" fillId="0" borderId="1" xfId="6" applyNumberFormat="1" applyFont="1" applyBorder="1"/>
    <xf numFmtId="167" fontId="0" fillId="0" borderId="0" xfId="6" applyNumberFormat="1" applyFont="1" applyBorder="1"/>
    <xf numFmtId="0" fontId="0" fillId="0" borderId="2" xfId="0" applyBorder="1"/>
    <xf numFmtId="167" fontId="0" fillId="0" borderId="2" xfId="6" applyNumberFormat="1" applyFont="1" applyBorder="1"/>
    <xf numFmtId="169" fontId="0" fillId="0" borderId="0" xfId="0" applyNumberFormat="1"/>
    <xf numFmtId="0" fontId="0" fillId="0" borderId="0" xfId="0" applyAlignment="1">
      <alignment horizontal="center"/>
    </xf>
    <xf numFmtId="170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0" fillId="0" borderId="0" xfId="6" applyNumberFormat="1" applyFont="1" applyAlignment="1">
      <alignment horizontal="right"/>
    </xf>
    <xf numFmtId="0" fontId="0" fillId="8" borderId="0" xfId="0" applyFill="1" applyAlignment="1">
      <alignment horizontal="center"/>
    </xf>
    <xf numFmtId="171" fontId="0" fillId="8" borderId="0" xfId="0" applyNumberFormat="1" applyFill="1" applyAlignment="1">
      <alignment horizontal="right"/>
    </xf>
    <xf numFmtId="172" fontId="0" fillId="8" borderId="0" xfId="0" applyNumberFormat="1" applyFill="1" applyAlignment="1">
      <alignment horizontal="right"/>
    </xf>
    <xf numFmtId="10" fontId="0" fillId="8" borderId="0" xfId="6" applyNumberFormat="1" applyFont="1" applyFill="1" applyAlignment="1">
      <alignment horizontal="right"/>
    </xf>
    <xf numFmtId="0" fontId="3" fillId="9" borderId="0" xfId="0" applyFont="1" applyFill="1"/>
    <xf numFmtId="17" fontId="3" fillId="9" borderId="0" xfId="0" applyNumberFormat="1" applyFont="1" applyFill="1"/>
    <xf numFmtId="0" fontId="2" fillId="0" borderId="3" xfId="0" applyFont="1" applyBorder="1"/>
    <xf numFmtId="0" fontId="0" fillId="0" borderId="4" xfId="0" applyBorder="1"/>
    <xf numFmtId="3" fontId="0" fillId="0" borderId="4" xfId="0" applyNumberFormat="1" applyBorder="1"/>
    <xf numFmtId="173" fontId="0" fillId="0" borderId="4" xfId="0" applyNumberFormat="1" applyBorder="1"/>
    <xf numFmtId="173" fontId="0" fillId="0" borderId="0" xfId="0" applyNumberFormat="1"/>
    <xf numFmtId="173" fontId="2" fillId="0" borderId="3" xfId="0" applyNumberFormat="1" applyFont="1" applyBorder="1"/>
    <xf numFmtId="173" fontId="2" fillId="0" borderId="4" xfId="0" applyNumberFormat="1" applyFont="1" applyBorder="1"/>
    <xf numFmtId="173" fontId="0" fillId="0" borderId="6" xfId="0" applyNumberFormat="1" applyBorder="1"/>
    <xf numFmtId="173" fontId="0" fillId="0" borderId="7" xfId="0" applyNumberFormat="1" applyBorder="1"/>
    <xf numFmtId="0" fontId="2" fillId="0" borderId="5" xfId="0" applyFont="1" applyBorder="1"/>
    <xf numFmtId="173" fontId="2" fillId="0" borderId="5" xfId="0" applyNumberFormat="1" applyFont="1" applyBorder="1"/>
    <xf numFmtId="0" fontId="0" fillId="0" borderId="6" xfId="0" applyBorder="1"/>
    <xf numFmtId="0" fontId="2" fillId="0" borderId="9" xfId="0" applyFont="1" applyBorder="1"/>
    <xf numFmtId="173" fontId="2" fillId="0" borderId="9" xfId="0" applyNumberFormat="1" applyFont="1" applyBorder="1"/>
    <xf numFmtId="0" fontId="2" fillId="0" borderId="11" xfId="0" applyFont="1" applyBorder="1"/>
    <xf numFmtId="173" fontId="2" fillId="0" borderId="11" xfId="0" applyNumberFormat="1" applyFont="1" applyBorder="1"/>
    <xf numFmtId="0" fontId="2" fillId="0" borderId="4" xfId="0" applyFont="1" applyBorder="1"/>
    <xf numFmtId="10" fontId="0" fillId="0" borderId="0" xfId="6" applyNumberFormat="1" applyFont="1"/>
    <xf numFmtId="174" fontId="0" fillId="0" borderId="4" xfId="0" applyNumberFormat="1" applyBorder="1"/>
    <xf numFmtId="10" fontId="2" fillId="0" borderId="9" xfId="6" applyNumberFormat="1" applyFont="1" applyBorder="1"/>
    <xf numFmtId="0" fontId="0" fillId="0" borderId="10" xfId="0" applyBorder="1"/>
    <xf numFmtId="3" fontId="0" fillId="0" borderId="10" xfId="0" applyNumberFormat="1" applyBorder="1"/>
    <xf numFmtId="3" fontId="2" fillId="0" borderId="9" xfId="0" applyNumberFormat="1" applyFont="1" applyBorder="1"/>
    <xf numFmtId="0" fontId="2" fillId="0" borderId="12" xfId="0" applyFont="1" applyBorder="1"/>
    <xf numFmtId="0" fontId="0" fillId="0" borderId="12" xfId="0" applyBorder="1"/>
    <xf numFmtId="0" fontId="2" fillId="0" borderId="13" xfId="0" applyFont="1" applyBorder="1"/>
    <xf numFmtId="3" fontId="2" fillId="0" borderId="13" xfId="0" applyNumberFormat="1" applyFont="1" applyBorder="1"/>
    <xf numFmtId="10" fontId="2" fillId="11" borderId="0" xfId="6" applyNumberFormat="1" applyFont="1" applyFill="1"/>
    <xf numFmtId="0" fontId="2" fillId="11" borderId="0" xfId="0" applyFont="1" applyFill="1"/>
    <xf numFmtId="10" fontId="2" fillId="11" borderId="0" xfId="0" applyNumberFormat="1" applyFont="1" applyFill="1"/>
    <xf numFmtId="0" fontId="2" fillId="0" borderId="14" xfId="0" applyFont="1" applyBorder="1"/>
    <xf numFmtId="10" fontId="2" fillId="0" borderId="14" xfId="6" applyNumberFormat="1" applyFont="1" applyBorder="1"/>
    <xf numFmtId="0" fontId="0" fillId="0" borderId="7" xfId="0" applyBorder="1"/>
    <xf numFmtId="10" fontId="2" fillId="0" borderId="12" xfId="6" applyNumberFormat="1" applyFont="1" applyBorder="1"/>
    <xf numFmtId="10" fontId="2" fillId="0" borderId="12" xfId="6" applyNumberFormat="1" applyFont="1" applyBorder="1" applyAlignment="1">
      <alignment horizontal="right"/>
    </xf>
    <xf numFmtId="0" fontId="2" fillId="6" borderId="0" xfId="0" applyFont="1" applyFill="1"/>
    <xf numFmtId="10" fontId="2" fillId="6" borderId="0" xfId="0" applyNumberFormat="1" applyFont="1" applyFill="1"/>
    <xf numFmtId="0" fontId="0" fillId="0" borderId="5" xfId="0" applyBorder="1"/>
    <xf numFmtId="173" fontId="0" fillId="0" borderId="5" xfId="0" applyNumberFormat="1" applyBorder="1"/>
    <xf numFmtId="0" fontId="2" fillId="0" borderId="6" xfId="0" applyFont="1" applyBorder="1"/>
    <xf numFmtId="10" fontId="15" fillId="0" borderId="4" xfId="6" applyNumberFormat="1" applyFont="1" applyBorder="1"/>
    <xf numFmtId="0" fontId="2" fillId="0" borderId="15" xfId="0" applyFont="1" applyBorder="1"/>
    <xf numFmtId="10" fontId="2" fillId="0" borderId="15" xfId="6" applyNumberFormat="1" applyFont="1" applyBorder="1"/>
    <xf numFmtId="0" fontId="16" fillId="6" borderId="0" xfId="0" applyFont="1" applyFill="1" applyAlignment="1">
      <alignment horizontal="center" vertical="center"/>
    </xf>
    <xf numFmtId="0" fontId="0" fillId="9" borderId="0" xfId="0" applyFill="1"/>
    <xf numFmtId="174" fontId="0" fillId="0" borderId="0" xfId="0" applyNumberFormat="1"/>
    <xf numFmtId="0" fontId="1" fillId="0" borderId="0" xfId="7"/>
    <xf numFmtId="0" fontId="1" fillId="0" borderId="0" xfId="7" applyAlignment="1">
      <alignment horizontal="left"/>
    </xf>
    <xf numFmtId="10" fontId="0" fillId="0" borderId="0" xfId="8" applyNumberFormat="1" applyFont="1"/>
    <xf numFmtId="10" fontId="18" fillId="8" borderId="0" xfId="7" applyNumberFormat="1" applyFont="1" applyFill="1"/>
    <xf numFmtId="10" fontId="1" fillId="0" borderId="0" xfId="7" applyNumberFormat="1"/>
    <xf numFmtId="0" fontId="17" fillId="12" borderId="0" xfId="7" applyFont="1" applyFill="1" applyAlignment="1">
      <alignment horizontal="left"/>
    </xf>
    <xf numFmtId="0" fontId="17" fillId="12" borderId="0" xfId="7" applyFont="1" applyFill="1" applyAlignment="1">
      <alignment horizontal="right"/>
    </xf>
    <xf numFmtId="0" fontId="1" fillId="0" borderId="8" xfId="7" applyBorder="1" applyAlignment="1">
      <alignment horizontal="center"/>
    </xf>
    <xf numFmtId="0" fontId="18" fillId="0" borderId="17" xfId="7" applyFont="1" applyBorder="1"/>
    <xf numFmtId="10" fontId="18" fillId="11" borderId="0" xfId="8" applyNumberFormat="1" applyFont="1" applyFill="1"/>
    <xf numFmtId="2" fontId="18" fillId="11" borderId="1" xfId="7" applyNumberFormat="1" applyFont="1" applyFill="1" applyBorder="1"/>
    <xf numFmtId="0" fontId="1" fillId="0" borderId="1" xfId="7" applyBorder="1"/>
    <xf numFmtId="0" fontId="18" fillId="0" borderId="1" xfId="7" applyFont="1" applyBorder="1"/>
    <xf numFmtId="10" fontId="0" fillId="0" borderId="1" xfId="8" applyNumberFormat="1" applyFont="1" applyBorder="1"/>
    <xf numFmtId="9" fontId="1" fillId="0" borderId="0" xfId="7" applyNumberFormat="1"/>
    <xf numFmtId="10" fontId="0" fillId="0" borderId="0" xfId="8" applyNumberFormat="1" applyFont="1" applyBorder="1"/>
    <xf numFmtId="174" fontId="1" fillId="0" borderId="0" xfId="7" applyNumberFormat="1"/>
    <xf numFmtId="2" fontId="1" fillId="0" borderId="0" xfId="7" applyNumberFormat="1"/>
    <xf numFmtId="0" fontId="18" fillId="0" borderId="17" xfId="7" applyFont="1" applyBorder="1" applyAlignment="1">
      <alignment horizontal="right"/>
    </xf>
    <xf numFmtId="10" fontId="18" fillId="11" borderId="1" xfId="7" applyNumberFormat="1" applyFont="1" applyFill="1" applyBorder="1"/>
    <xf numFmtId="10" fontId="1" fillId="0" borderId="1" xfId="7" applyNumberFormat="1" applyBorder="1"/>
    <xf numFmtId="9" fontId="20" fillId="0" borderId="0" xfId="7" applyNumberFormat="1" applyFont="1"/>
    <xf numFmtId="10" fontId="20" fillId="0" borderId="0" xfId="7" applyNumberFormat="1" applyFont="1"/>
    <xf numFmtId="2" fontId="18" fillId="0" borderId="17" xfId="7" applyNumberFormat="1" applyFont="1" applyBorder="1"/>
    <xf numFmtId="10" fontId="18" fillId="0" borderId="17" xfId="7" applyNumberFormat="1" applyFont="1" applyBorder="1"/>
    <xf numFmtId="2" fontId="18" fillId="0" borderId="18" xfId="7" applyNumberFormat="1" applyFont="1" applyBorder="1"/>
    <xf numFmtId="10" fontId="18" fillId="0" borderId="18" xfId="7" applyNumberFormat="1" applyFont="1" applyBorder="1"/>
    <xf numFmtId="0" fontId="18" fillId="0" borderId="18" xfId="7" applyFont="1" applyBorder="1"/>
    <xf numFmtId="10" fontId="18" fillId="0" borderId="0" xfId="7" applyNumberFormat="1" applyFont="1"/>
    <xf numFmtId="2" fontId="20" fillId="0" borderId="0" xfId="7" applyNumberFormat="1" applyFont="1"/>
    <xf numFmtId="10" fontId="20" fillId="0" borderId="0" xfId="7" applyNumberFormat="1" applyFont="1" applyAlignment="1">
      <alignment vertical="top"/>
    </xf>
    <xf numFmtId="174" fontId="20" fillId="0" borderId="0" xfId="7" applyNumberFormat="1" applyFont="1"/>
    <xf numFmtId="0" fontId="20" fillId="0" borderId="0" xfId="7" applyFont="1" applyAlignment="1">
      <alignment horizontal="right"/>
    </xf>
    <xf numFmtId="0" fontId="20" fillId="0" borderId="0" xfId="7" applyFont="1"/>
    <xf numFmtId="0" fontId="18" fillId="0" borderId="17" xfId="7" applyFont="1" applyBorder="1" applyAlignment="1">
      <alignment horizontal="center"/>
    </xf>
    <xf numFmtId="0" fontId="18" fillId="0" borderId="18" xfId="7" applyFont="1" applyBorder="1" applyAlignment="1">
      <alignment horizontal="center"/>
    </xf>
    <xf numFmtId="0" fontId="22" fillId="0" borderId="0" xfId="7" applyFont="1"/>
    <xf numFmtId="0" fontId="1" fillId="6" borderId="0" xfId="7" applyFill="1"/>
    <xf numFmtId="0" fontId="18" fillId="6" borderId="0" xfId="7" applyFont="1" applyFill="1"/>
    <xf numFmtId="0" fontId="24" fillId="0" borderId="0" xfId="0" applyFont="1"/>
    <xf numFmtId="0" fontId="25" fillId="0" borderId="0" xfId="0" applyFont="1"/>
    <xf numFmtId="10" fontId="1" fillId="0" borderId="0" xfId="6" applyNumberFormat="1" applyFont="1"/>
    <xf numFmtId="0" fontId="0" fillId="11" borderId="0" xfId="0" applyFill="1"/>
    <xf numFmtId="174" fontId="2" fillId="0" borderId="9" xfId="0" applyNumberFormat="1" applyFont="1" applyBorder="1"/>
    <xf numFmtId="0" fontId="17" fillId="9" borderId="0" xfId="0" applyFont="1" applyFill="1"/>
    <xf numFmtId="0" fontId="18" fillId="0" borderId="9" xfId="0" applyFont="1" applyBorder="1"/>
    <xf numFmtId="176" fontId="18" fillId="0" borderId="9" xfId="0" applyNumberFormat="1" applyFont="1" applyBorder="1"/>
    <xf numFmtId="0" fontId="18" fillId="0" borderId="11" xfId="0" applyFont="1" applyBorder="1"/>
    <xf numFmtId="174" fontId="2" fillId="0" borderId="11" xfId="0" applyNumberFormat="1" applyFont="1" applyBorder="1"/>
    <xf numFmtId="43" fontId="0" fillId="0" borderId="0" xfId="0" applyNumberFormat="1"/>
    <xf numFmtId="43" fontId="2" fillId="0" borderId="13" xfId="0" applyNumberFormat="1" applyFont="1" applyBorder="1"/>
    <xf numFmtId="174" fontId="2" fillId="0" borderId="4" xfId="0" applyNumberFormat="1" applyFont="1" applyBorder="1"/>
    <xf numFmtId="10" fontId="15" fillId="0" borderId="4" xfId="0" applyNumberFormat="1" applyFont="1" applyBorder="1"/>
    <xf numFmtId="10" fontId="0" fillId="0" borderId="4" xfId="0" applyNumberFormat="1" applyBorder="1"/>
    <xf numFmtId="0" fontId="15" fillId="0" borderId="4" xfId="0" applyFont="1" applyBorder="1"/>
    <xf numFmtId="175" fontId="0" fillId="0" borderId="6" xfId="0" applyNumberFormat="1" applyBorder="1"/>
    <xf numFmtId="168" fontId="2" fillId="0" borderId="7" xfId="0" applyNumberFormat="1" applyFont="1" applyBorder="1"/>
    <xf numFmtId="166" fontId="0" fillId="0" borderId="4" xfId="0" applyNumberFormat="1" applyBorder="1"/>
    <xf numFmtId="166" fontId="2" fillId="0" borderId="4" xfId="0" applyNumberFormat="1" applyFont="1" applyBorder="1"/>
    <xf numFmtId="7" fontId="2" fillId="0" borderId="4" xfId="0" applyNumberFormat="1" applyFont="1" applyBorder="1"/>
    <xf numFmtId="166" fontId="2" fillId="0" borderId="13" xfId="0" applyNumberFormat="1" applyFont="1" applyBorder="1"/>
    <xf numFmtId="166" fontId="0" fillId="0" borderId="5" xfId="0" applyNumberFormat="1" applyBorder="1"/>
    <xf numFmtId="10" fontId="12" fillId="0" borderId="0" xfId="6" applyNumberFormat="1" applyFont="1" applyBorder="1"/>
    <xf numFmtId="10" fontId="12" fillId="0" borderId="19" xfId="6" applyNumberFormat="1" applyFont="1" applyBorder="1"/>
    <xf numFmtId="10" fontId="14" fillId="0" borderId="19" xfId="6" applyNumberFormat="1" applyFont="1" applyBorder="1"/>
    <xf numFmtId="0" fontId="0" fillId="0" borderId="19" xfId="0" applyBorder="1"/>
    <xf numFmtId="0" fontId="13" fillId="0" borderId="19" xfId="0" applyFont="1" applyBorder="1"/>
    <xf numFmtId="0" fontId="13" fillId="0" borderId="13" xfId="0" applyFont="1" applyBorder="1"/>
    <xf numFmtId="166" fontId="2" fillId="0" borderId="9" xfId="0" applyNumberFormat="1" applyFont="1" applyBorder="1"/>
    <xf numFmtId="166" fontId="0" fillId="0" borderId="10" xfId="0" applyNumberFormat="1" applyBorder="1"/>
    <xf numFmtId="0" fontId="3" fillId="9" borderId="0" xfId="0" applyFont="1" applyFill="1" applyAlignment="1">
      <alignment wrapText="1"/>
    </xf>
    <xf numFmtId="17" fontId="3" fillId="9" borderId="0" xfId="0" applyNumberFormat="1" applyFont="1" applyFill="1" applyAlignment="1">
      <alignment wrapText="1"/>
    </xf>
    <xf numFmtId="17" fontId="3" fillId="9" borderId="0" xfId="0" applyNumberFormat="1" applyFont="1" applyFill="1" applyAlignment="1">
      <alignment horizontal="center" wrapText="1"/>
    </xf>
    <xf numFmtId="0" fontId="3" fillId="9" borderId="0" xfId="0" applyFont="1" applyFill="1" applyAlignment="1">
      <alignment horizontal="center"/>
    </xf>
    <xf numFmtId="0" fontId="1" fillId="9" borderId="17" xfId="7" applyFill="1" applyBorder="1"/>
    <xf numFmtId="0" fontId="17" fillId="9" borderId="17" xfId="7" applyFont="1" applyFill="1" applyBorder="1"/>
    <xf numFmtId="0" fontId="27" fillId="9" borderId="17" xfId="7" applyFont="1" applyFill="1" applyBorder="1"/>
    <xf numFmtId="0" fontId="18" fillId="8" borderId="16" xfId="7" applyFont="1" applyFill="1" applyBorder="1"/>
    <xf numFmtId="10" fontId="18" fillId="8" borderId="16" xfId="7" applyNumberFormat="1" applyFont="1" applyFill="1" applyBorder="1"/>
    <xf numFmtId="43" fontId="0" fillId="0" borderId="0" xfId="1" applyFont="1"/>
    <xf numFmtId="178" fontId="0" fillId="0" borderId="0" xfId="1" applyNumberFormat="1" applyFont="1"/>
    <xf numFmtId="10" fontId="0" fillId="0" borderId="0" xfId="1" applyNumberFormat="1" applyFont="1"/>
    <xf numFmtId="2" fontId="2" fillId="0" borderId="0" xfId="0" applyNumberFormat="1" applyFont="1"/>
    <xf numFmtId="176" fontId="2" fillId="0" borderId="0" xfId="0" applyNumberFormat="1" applyFont="1"/>
    <xf numFmtId="177" fontId="0" fillId="0" borderId="0" xfId="0" applyNumberFormat="1"/>
    <xf numFmtId="174" fontId="2" fillId="0" borderId="0" xfId="0" applyNumberFormat="1" applyFont="1"/>
    <xf numFmtId="174" fontId="2" fillId="11" borderId="4" xfId="0" applyNumberFormat="1" applyFont="1" applyFill="1" applyBorder="1"/>
    <xf numFmtId="10" fontId="15" fillId="11" borderId="4" xfId="0" applyNumberFormat="1" applyFont="1" applyFill="1" applyBorder="1"/>
    <xf numFmtId="174" fontId="0" fillId="11" borderId="4" xfId="0" applyNumberFormat="1" applyFill="1" applyBorder="1"/>
    <xf numFmtId="10" fontId="0" fillId="11" borderId="4" xfId="0" applyNumberFormat="1" applyFill="1" applyBorder="1"/>
    <xf numFmtId="0" fontId="0" fillId="11" borderId="4" xfId="0" applyFill="1" applyBorder="1"/>
    <xf numFmtId="0" fontId="0" fillId="11" borderId="6" xfId="0" applyFill="1" applyBorder="1"/>
    <xf numFmtId="0" fontId="2" fillId="11" borderId="9" xfId="0" applyFont="1" applyFill="1" applyBorder="1"/>
    <xf numFmtId="179" fontId="3" fillId="9" borderId="0" xfId="0" applyNumberFormat="1" applyFont="1" applyFill="1"/>
    <xf numFmtId="180" fontId="3" fillId="9" borderId="0" xfId="0" applyNumberFormat="1" applyFont="1" applyFill="1"/>
    <xf numFmtId="43" fontId="5" fillId="0" borderId="0" xfId="2" applyNumberFormat="1" applyBorder="1" applyAlignment="1" applyProtection="1">
      <alignment horizontal="center"/>
    </xf>
    <xf numFmtId="43" fontId="3" fillId="4" borderId="0" xfId="5" applyNumberFormat="1" applyFont="1" applyBorder="1" applyAlignment="1">
      <alignment horizontal="center"/>
    </xf>
    <xf numFmtId="0" fontId="17" fillId="13" borderId="8" xfId="7" applyFont="1" applyFill="1" applyBorder="1" applyAlignment="1">
      <alignment horizontal="center"/>
    </xf>
    <xf numFmtId="0" fontId="18" fillId="11" borderId="0" xfId="7" applyFont="1" applyFill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2" fillId="7" borderId="8" xfId="0" applyFont="1" applyFill="1" applyBorder="1" applyAlignment="1">
      <alignment horizontal="left"/>
    </xf>
    <xf numFmtId="0" fontId="3" fillId="9" borderId="0" xfId="0" applyFont="1" applyFill="1" applyAlignment="1">
      <alignment horizontal="center" wrapText="1"/>
    </xf>
    <xf numFmtId="0" fontId="23" fillId="9" borderId="8" xfId="7" applyFont="1" applyFill="1" applyBorder="1" applyAlignment="1">
      <alignment horizontal="center" vertical="center"/>
    </xf>
    <xf numFmtId="0" fontId="18" fillId="14" borderId="8" xfId="7" applyFont="1" applyFill="1" applyBorder="1" applyAlignment="1">
      <alignment horizontal="left" vertical="center"/>
    </xf>
    <xf numFmtId="0" fontId="2" fillId="10" borderId="0" xfId="0" applyFont="1" applyFill="1" applyAlignment="1">
      <alignment horizontal="left"/>
    </xf>
    <xf numFmtId="0" fontId="2" fillId="10" borderId="8" xfId="0" applyFont="1" applyFill="1" applyBorder="1" applyAlignment="1">
      <alignment horizontal="left"/>
    </xf>
    <xf numFmtId="0" fontId="16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26" fillId="14" borderId="0" xfId="0" applyFont="1" applyFill="1" applyAlignment="1">
      <alignment horizontal="left"/>
    </xf>
    <xf numFmtId="10" fontId="0" fillId="0" borderId="0" xfId="6" applyNumberFormat="1" applyFont="1" applyAlignment="1">
      <alignment horizontal="center"/>
    </xf>
    <xf numFmtId="10" fontId="2" fillId="0" borderId="4" xfId="6" applyNumberFormat="1" applyFont="1" applyBorder="1" applyAlignment="1">
      <alignment horizontal="center"/>
    </xf>
    <xf numFmtId="0" fontId="2" fillId="11" borderId="13" xfId="0" applyFont="1" applyFill="1" applyBorder="1"/>
    <xf numFmtId="10" fontId="2" fillId="11" borderId="13" xfId="6" applyNumberFormat="1" applyFont="1" applyFill="1" applyBorder="1" applyAlignment="1">
      <alignment horizontal="center"/>
    </xf>
    <xf numFmtId="0" fontId="28" fillId="9" borderId="8" xfId="0" applyFont="1" applyFill="1" applyBorder="1" applyAlignment="1">
      <alignment horizontal="center" vertical="center"/>
    </xf>
    <xf numFmtId="0" fontId="3" fillId="9" borderId="8" xfId="0" applyFont="1" applyFill="1" applyBorder="1"/>
    <xf numFmtId="17" fontId="3" fillId="9" borderId="8" xfId="0" applyNumberFormat="1" applyFont="1" applyFill="1" applyBorder="1" applyAlignment="1">
      <alignment horizontal="center"/>
    </xf>
  </cellXfs>
  <cellStyles count="9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Normal 2" xfId="7" xr:uid="{65E8EF15-164A-4862-BE17-AC686751EF5A}"/>
    <cellStyle name="Percent" xfId="6" builtinId="5"/>
    <cellStyle name="Percent 2" xfId="8" xr:uid="{36F6D84D-9B06-434F-9AA3-7A53735FE5E4}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33CC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EICHER MOTORS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6173.46</v>
      </c>
      <c r="C4" s="1">
        <f>'Data Sheet'!C17</f>
        <v>7033.36</v>
      </c>
      <c r="D4" s="1">
        <f>'Data Sheet'!D17</f>
        <v>8964.9599999999991</v>
      </c>
      <c r="E4" s="1">
        <f>'Data Sheet'!E17</f>
        <v>9797.06</v>
      </c>
      <c r="F4" s="1">
        <f>'Data Sheet'!F17</f>
        <v>9153.58</v>
      </c>
      <c r="G4" s="1">
        <f>'Data Sheet'!G17</f>
        <v>8720.35</v>
      </c>
      <c r="H4" s="1">
        <f>'Data Sheet'!H17</f>
        <v>10297.83</v>
      </c>
      <c r="I4" s="1">
        <f>'Data Sheet'!I17</f>
        <v>14442.18</v>
      </c>
      <c r="J4" s="1">
        <f>'Data Sheet'!J17</f>
        <v>16535.78</v>
      </c>
      <c r="K4" s="1">
        <f>'Data Sheet'!K17</f>
        <v>18870.349999999999</v>
      </c>
      <c r="L4" s="1">
        <f>SUM(Quarters!H4:K4)</f>
        <v>22568.58</v>
      </c>
      <c r="M4" s="1">
        <f>$K4+M23*K4</f>
        <v>23091.813137588397</v>
      </c>
      <c r="N4" s="1">
        <f>$K4+N23*L4</f>
        <v>21402.143108117561</v>
      </c>
    </row>
    <row r="5" spans="1:14" x14ac:dyDescent="0.25">
      <c r="A5" t="s">
        <v>7</v>
      </c>
      <c r="B5" s="6">
        <f>SUM('Data Sheet'!B18,'Data Sheet'!B20:B24, -1*'Data Sheet'!B19)</f>
        <v>4483.7299999999996</v>
      </c>
      <c r="C5" s="6">
        <f>SUM('Data Sheet'!C18,'Data Sheet'!C20:C24, -1*'Data Sheet'!C19)</f>
        <v>4859.05</v>
      </c>
      <c r="D5" s="6">
        <f>SUM('Data Sheet'!D18,'Data Sheet'!D20:D24, -1*'Data Sheet'!D19)</f>
        <v>6156.33</v>
      </c>
      <c r="E5" s="6">
        <f>SUM('Data Sheet'!E18,'Data Sheet'!E20:E24, -1*'Data Sheet'!E19)</f>
        <v>6892.8200000000006</v>
      </c>
      <c r="F5" s="6">
        <f>SUM('Data Sheet'!F18,'Data Sheet'!F20:F24, -1*'Data Sheet'!F19)</f>
        <v>6970.69</v>
      </c>
      <c r="G5" s="6">
        <f>SUM('Data Sheet'!G18,'Data Sheet'!G20:G24, -1*'Data Sheet'!G19)</f>
        <v>6937.1200000000008</v>
      </c>
      <c r="H5" s="6">
        <f>SUM('Data Sheet'!H18,'Data Sheet'!H20:H24, -1*'Data Sheet'!H19)</f>
        <v>8120.26</v>
      </c>
      <c r="I5" s="6">
        <f>SUM('Data Sheet'!I18,'Data Sheet'!I20:I24, -1*'Data Sheet'!I19)</f>
        <v>10996.46</v>
      </c>
      <c r="J5" s="6">
        <f>SUM('Data Sheet'!J18,'Data Sheet'!J20:J24, -1*'Data Sheet'!J19)</f>
        <v>12206.410000000002</v>
      </c>
      <c r="K5" s="6">
        <f>SUM('Data Sheet'!K18,'Data Sheet'!K20:K24, -1*'Data Sheet'!K19)</f>
        <v>14147.78</v>
      </c>
      <c r="L5" s="6">
        <f>SUM(Quarters!H5:K5)</f>
        <v>17039.489999999998</v>
      </c>
      <c r="M5" s="6">
        <f t="shared" ref="M5:N5" si="0">M4-M6</f>
        <v>17302.376557349009</v>
      </c>
      <c r="N5" s="6">
        <f t="shared" si="0"/>
        <v>16287.227039951049</v>
      </c>
    </row>
    <row r="6" spans="1:14" s="2" customFormat="1" x14ac:dyDescent="0.25">
      <c r="A6" s="2" t="s">
        <v>8</v>
      </c>
      <c r="B6" s="1">
        <f>B4-B5</f>
        <v>1689.7300000000005</v>
      </c>
      <c r="C6" s="1">
        <f t="shared" ref="C6:K6" si="1">C4-C5</f>
        <v>2174.3099999999995</v>
      </c>
      <c r="D6" s="1">
        <f t="shared" si="1"/>
        <v>2808.6299999999992</v>
      </c>
      <c r="E6" s="1">
        <f t="shared" si="1"/>
        <v>2904.2399999999989</v>
      </c>
      <c r="F6" s="1">
        <f t="shared" si="1"/>
        <v>2182.8900000000003</v>
      </c>
      <c r="G6" s="1">
        <f t="shared" si="1"/>
        <v>1783.2299999999996</v>
      </c>
      <c r="H6" s="1">
        <f t="shared" si="1"/>
        <v>2177.5699999999997</v>
      </c>
      <c r="I6" s="1">
        <f t="shared" si="1"/>
        <v>3445.7200000000012</v>
      </c>
      <c r="J6" s="1">
        <f t="shared" si="1"/>
        <v>4329.3699999999972</v>
      </c>
      <c r="K6" s="1">
        <f t="shared" si="1"/>
        <v>4722.5699999999979</v>
      </c>
      <c r="L6" s="1">
        <f>SUM(Quarters!H6:K6)</f>
        <v>5529.09</v>
      </c>
      <c r="M6" s="1">
        <f>M4*M24</f>
        <v>5789.4365802393886</v>
      </c>
      <c r="N6" s="1">
        <f>N4*N24</f>
        <v>5114.9160681665135</v>
      </c>
    </row>
    <row r="7" spans="1:14" x14ac:dyDescent="0.25">
      <c r="A7" t="s">
        <v>9</v>
      </c>
      <c r="B7" s="6">
        <f>'Data Sheet'!B25</f>
        <v>325.91000000000003</v>
      </c>
      <c r="C7" s="6">
        <f>'Data Sheet'!C25</f>
        <v>416.44</v>
      </c>
      <c r="D7" s="6">
        <f>'Data Sheet'!D25</f>
        <v>535.66</v>
      </c>
      <c r="E7" s="6">
        <f>'Data Sheet'!E25</f>
        <v>700.66</v>
      </c>
      <c r="F7" s="6">
        <f>'Data Sheet'!F25</f>
        <v>572.41999999999996</v>
      </c>
      <c r="G7" s="6">
        <f>'Data Sheet'!G25</f>
        <v>482.34</v>
      </c>
      <c r="H7" s="6">
        <f>'Data Sheet'!H25</f>
        <v>495.65</v>
      </c>
      <c r="I7" s="6">
        <f>'Data Sheet'!I25</f>
        <v>908.14</v>
      </c>
      <c r="J7" s="6">
        <f>'Data Sheet'!J25</f>
        <v>1521.13</v>
      </c>
      <c r="K7" s="6">
        <f>'Data Sheet'!K25</f>
        <v>1994.17</v>
      </c>
      <c r="L7" s="6">
        <f>SUM(Quarters!H7:K7)</f>
        <v>2182.23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136.6</v>
      </c>
      <c r="C8" s="6">
        <f>'Data Sheet'!C26</f>
        <v>153.81</v>
      </c>
      <c r="D8" s="6">
        <f>'Data Sheet'!D26</f>
        <v>223.3</v>
      </c>
      <c r="E8" s="6">
        <f>'Data Sheet'!E26</f>
        <v>300.27999999999997</v>
      </c>
      <c r="F8" s="6">
        <f>'Data Sheet'!F26</f>
        <v>381.54</v>
      </c>
      <c r="G8" s="6">
        <f>'Data Sheet'!G26</f>
        <v>450.73</v>
      </c>
      <c r="H8" s="6">
        <f>'Data Sheet'!H26</f>
        <v>451.93</v>
      </c>
      <c r="I8" s="6">
        <f>'Data Sheet'!I26</f>
        <v>526.21</v>
      </c>
      <c r="J8" s="6">
        <f>'Data Sheet'!J26</f>
        <v>597.6</v>
      </c>
      <c r="K8" s="6">
        <f>'Data Sheet'!K26</f>
        <v>729.33</v>
      </c>
      <c r="L8" s="6">
        <f>SUM(Quarters!H8:K8)</f>
        <v>810.09</v>
      </c>
      <c r="M8" s="6">
        <f>+$L8</f>
        <v>810.09</v>
      </c>
      <c r="N8" s="6">
        <f>+$L8</f>
        <v>810.09</v>
      </c>
    </row>
    <row r="9" spans="1:14" x14ac:dyDescent="0.25">
      <c r="A9" t="s">
        <v>11</v>
      </c>
      <c r="B9" s="6">
        <f>'Data Sheet'!B27</f>
        <v>2.12</v>
      </c>
      <c r="C9" s="6">
        <f>'Data Sheet'!C27</f>
        <v>3.56</v>
      </c>
      <c r="D9" s="6">
        <f>'Data Sheet'!D27</f>
        <v>5.34</v>
      </c>
      <c r="E9" s="6">
        <f>'Data Sheet'!E27</f>
        <v>7.33</v>
      </c>
      <c r="F9" s="6">
        <f>'Data Sheet'!F27</f>
        <v>18.88</v>
      </c>
      <c r="G9" s="6">
        <f>'Data Sheet'!G27</f>
        <v>16.45</v>
      </c>
      <c r="H9" s="6">
        <f>'Data Sheet'!H27</f>
        <v>18.78</v>
      </c>
      <c r="I9" s="6">
        <f>'Data Sheet'!I27</f>
        <v>28.02</v>
      </c>
      <c r="J9" s="6">
        <f>'Data Sheet'!J27</f>
        <v>50.88</v>
      </c>
      <c r="K9" s="6">
        <f>'Data Sheet'!K27</f>
        <v>54.34</v>
      </c>
      <c r="L9" s="6">
        <f>SUM(Quarters!H9:K9)</f>
        <v>66.86999999999999</v>
      </c>
      <c r="M9" s="6">
        <f>+$L9</f>
        <v>66.86999999999999</v>
      </c>
      <c r="N9" s="6">
        <f>+$L9</f>
        <v>66.86999999999999</v>
      </c>
    </row>
    <row r="10" spans="1:14" x14ac:dyDescent="0.25">
      <c r="A10" t="s">
        <v>12</v>
      </c>
      <c r="B10" s="6">
        <f>'Data Sheet'!B28</f>
        <v>1876.92</v>
      </c>
      <c r="C10" s="6">
        <f>'Data Sheet'!C28</f>
        <v>2433.38</v>
      </c>
      <c r="D10" s="6">
        <f>'Data Sheet'!D28</f>
        <v>3115.65</v>
      </c>
      <c r="E10" s="6">
        <f>'Data Sheet'!E28</f>
        <v>3297.29</v>
      </c>
      <c r="F10" s="6">
        <f>'Data Sheet'!F28</f>
        <v>2354.89</v>
      </c>
      <c r="G10" s="6">
        <f>'Data Sheet'!G28</f>
        <v>1798.39</v>
      </c>
      <c r="H10" s="6">
        <f>'Data Sheet'!H28</f>
        <v>2202.5100000000002</v>
      </c>
      <c r="I10" s="6">
        <f>'Data Sheet'!I28</f>
        <v>3799.63</v>
      </c>
      <c r="J10" s="6">
        <f>'Data Sheet'!J28</f>
        <v>5202.0200000000004</v>
      </c>
      <c r="K10" s="6">
        <f>'Data Sheet'!K28</f>
        <v>5933.07</v>
      </c>
      <c r="L10" s="6">
        <f>SUM(Quarters!H10:K10)</f>
        <v>6834.36</v>
      </c>
      <c r="M10" s="6">
        <f>M6+M7-SUM(M8:M9)</f>
        <v>4912.4765802393886</v>
      </c>
      <c r="N10" s="6">
        <f>N6+N7-SUM(N8:N9)</f>
        <v>4237.9560681665134</v>
      </c>
    </row>
    <row r="11" spans="1:14" x14ac:dyDescent="0.25">
      <c r="A11" t="s">
        <v>13</v>
      </c>
      <c r="B11" s="6">
        <f>'Data Sheet'!B29</f>
        <v>538.88</v>
      </c>
      <c r="C11" s="6">
        <f>'Data Sheet'!C29</f>
        <v>720.3</v>
      </c>
      <c r="D11" s="6">
        <f>'Data Sheet'!D29</f>
        <v>935.93</v>
      </c>
      <c r="E11" s="6">
        <f>'Data Sheet'!E29</f>
        <v>1077.04</v>
      </c>
      <c r="F11" s="6">
        <f>'Data Sheet'!F29</f>
        <v>527.45000000000005</v>
      </c>
      <c r="G11" s="6">
        <f>'Data Sheet'!G29</f>
        <v>451.5</v>
      </c>
      <c r="H11" s="6">
        <f>'Data Sheet'!H29</f>
        <v>525.91</v>
      </c>
      <c r="I11" s="6">
        <f>'Data Sheet'!I29</f>
        <v>885.69</v>
      </c>
      <c r="J11" s="6">
        <f>'Data Sheet'!J29</f>
        <v>1201.01</v>
      </c>
      <c r="K11" s="6">
        <f>'Data Sheet'!K29</f>
        <v>1198.6300000000001</v>
      </c>
      <c r="L11" s="6">
        <f>SUM(Quarters!H11:K11)</f>
        <v>1476.9299999999998</v>
      </c>
      <c r="M11" s="7">
        <f>IF($L10&gt;0,$L11/$L10,0)</f>
        <v>0.21610362930837707</v>
      </c>
      <c r="N11" s="7">
        <f>IF($L10&gt;0,$L11/$L10,0)</f>
        <v>0.21610362930837707</v>
      </c>
    </row>
    <row r="12" spans="1:14" s="2" customFormat="1" x14ac:dyDescent="0.25">
      <c r="A12" s="2" t="s">
        <v>14</v>
      </c>
      <c r="B12" s="1">
        <f>'Data Sheet'!B30</f>
        <v>1338.04</v>
      </c>
      <c r="C12" s="1">
        <f>'Data Sheet'!C30</f>
        <v>1667.08</v>
      </c>
      <c r="D12" s="1">
        <f>'Data Sheet'!D30</f>
        <v>1959.67</v>
      </c>
      <c r="E12" s="1">
        <f>'Data Sheet'!E30</f>
        <v>2202.73</v>
      </c>
      <c r="F12" s="1">
        <f>'Data Sheet'!F30</f>
        <v>1827.44</v>
      </c>
      <c r="G12" s="1">
        <f>'Data Sheet'!G30</f>
        <v>1346.89</v>
      </c>
      <c r="H12" s="1">
        <f>'Data Sheet'!H30</f>
        <v>1676.6</v>
      </c>
      <c r="I12" s="1">
        <f>'Data Sheet'!I30</f>
        <v>2913.94</v>
      </c>
      <c r="J12" s="1">
        <f>'Data Sheet'!J30</f>
        <v>4001.01</v>
      </c>
      <c r="K12" s="1">
        <f>'Data Sheet'!K30</f>
        <v>4734.4399999999996</v>
      </c>
      <c r="L12" s="1">
        <f>SUM(Quarters!H12:K12)</f>
        <v>5357.4299999999994</v>
      </c>
      <c r="M12" s="1">
        <f>M10-M11*M10</f>
        <v>3850.8725623572518</v>
      </c>
      <c r="N12" s="1">
        <f>N10-N11*N10</f>
        <v>3322.11838098627</v>
      </c>
    </row>
    <row r="13" spans="1:14" x14ac:dyDescent="0.25">
      <c r="A13" t="s">
        <v>57</v>
      </c>
      <c r="B13" s="6">
        <f>IF('Data Sheet'!B93&gt;0,B12/'Data Sheet'!B93,0)</f>
        <v>49.265095729013254</v>
      </c>
      <c r="C13" s="6">
        <f>IF('Data Sheet'!C93&gt;0,C12/'Data Sheet'!C93,0)</f>
        <v>61.267181183388459</v>
      </c>
      <c r="D13" s="6">
        <f>IF('Data Sheet'!D93&gt;0,D12/'Data Sheet'!D93,0)</f>
        <v>71.888114453411589</v>
      </c>
      <c r="E13" s="6">
        <f>IF('Data Sheet'!E93&gt;0,E12/'Data Sheet'!E93,0)</f>
        <v>80.745234604105576</v>
      </c>
      <c r="F13" s="6">
        <f>IF('Data Sheet'!F93&gt;0,F12/'Data Sheet'!F93,0)</f>
        <v>66.914683266202857</v>
      </c>
      <c r="G13" s="6">
        <f>IF('Data Sheet'!G93&gt;0,G12/'Data Sheet'!G93,0)</f>
        <v>49.28247347237469</v>
      </c>
      <c r="H13" s="6">
        <f>IF('Data Sheet'!H93&gt;0,H12/'Data Sheet'!H93,0)</f>
        <v>61.324067300658371</v>
      </c>
      <c r="I13" s="6">
        <f>IF('Data Sheet'!I93&gt;0,I12/'Data Sheet'!I93,0)</f>
        <v>106.54259597806215</v>
      </c>
      <c r="J13" s="6">
        <f>IF('Data Sheet'!J93&gt;0,J12/'Data Sheet'!J93,0)</f>
        <v>146.12892622352084</v>
      </c>
      <c r="K13" s="6">
        <f>IF('Data Sheet'!K93&gt;0,K12/'Data Sheet'!K93,0)</f>
        <v>172.66374908825671</v>
      </c>
      <c r="L13" s="6">
        <f>IF('Data Sheet'!$B6&gt;0,'Profit &amp; Loss'!L12/'Data Sheet'!$B6,0)</f>
        <v>195.30564710512201</v>
      </c>
      <c r="M13" s="6">
        <f>IF('Data Sheet'!$B6&gt;0,'Profit &amp; Loss'!M12/'Data Sheet'!$B6,0)</f>
        <v>140.38394485985677</v>
      </c>
      <c r="N13" s="6">
        <f>IF('Data Sheet'!$B6&gt;0,'Profit &amp; Loss'!N12/'Data Sheet'!$B6,0)</f>
        <v>121.10815823227625</v>
      </c>
    </row>
    <row r="14" spans="1:14" x14ac:dyDescent="0.25">
      <c r="A14" t="s">
        <v>16</v>
      </c>
      <c r="B14" s="6">
        <f>IF(B15&gt;0,B15/B13,"")</f>
        <v>38.933447131625364</v>
      </c>
      <c r="C14" s="6">
        <f t="shared" ref="C14:K14" si="2">IF(C15&gt;0,C15/C13,"")</f>
        <v>41.763795078820451</v>
      </c>
      <c r="D14" s="6">
        <f t="shared" si="2"/>
        <v>39.467859486546203</v>
      </c>
      <c r="E14" s="6">
        <f t="shared" si="2"/>
        <v>25.44756987919536</v>
      </c>
      <c r="F14" s="6">
        <f t="shared" si="2"/>
        <v>19.571040854966508</v>
      </c>
      <c r="G14" s="6">
        <f t="shared" si="2"/>
        <v>52.837242462264904</v>
      </c>
      <c r="H14" s="6">
        <f t="shared" si="2"/>
        <v>40.068281641417158</v>
      </c>
      <c r="I14" s="6">
        <f t="shared" si="2"/>
        <v>27.677662374654247</v>
      </c>
      <c r="J14" s="6">
        <f t="shared" si="2"/>
        <v>27.505163446229826</v>
      </c>
      <c r="K14" s="6">
        <f t="shared" si="2"/>
        <v>30.971758856380063</v>
      </c>
      <c r="L14" s="6">
        <f t="shared" ref="L14" si="3">IF(L13&gt;0,L15/L13,0)</f>
        <v>36.512001090074911</v>
      </c>
      <c r="M14" s="6">
        <f>M25</f>
        <v>36.512001090074911</v>
      </c>
      <c r="N14" s="6">
        <f>N25</f>
        <v>30.666646441834764</v>
      </c>
    </row>
    <row r="15" spans="1:14" s="2" customFormat="1" x14ac:dyDescent="0.25">
      <c r="A15" s="2" t="s">
        <v>58</v>
      </c>
      <c r="B15" s="1">
        <f>'Data Sheet'!B90</f>
        <v>1918.06</v>
      </c>
      <c r="C15" s="1">
        <f>'Data Sheet'!C90</f>
        <v>2558.75</v>
      </c>
      <c r="D15" s="1">
        <f>'Data Sheet'!D90</f>
        <v>2837.27</v>
      </c>
      <c r="E15" s="1">
        <f>'Data Sheet'!E90</f>
        <v>2054.77</v>
      </c>
      <c r="F15" s="1">
        <f>'Data Sheet'!F90</f>
        <v>1309.5899999999999</v>
      </c>
      <c r="G15" s="1">
        <f>'Data Sheet'!G90</f>
        <v>2603.9499999999998</v>
      </c>
      <c r="H15" s="1">
        <f>'Data Sheet'!H90</f>
        <v>2457.15</v>
      </c>
      <c r="I15" s="1">
        <f>'Data Sheet'!I90</f>
        <v>2948.85</v>
      </c>
      <c r="J15" s="1">
        <f>'Data Sheet'!J90</f>
        <v>4019.3</v>
      </c>
      <c r="K15" s="1">
        <f>'Data Sheet'!K90</f>
        <v>5347.7</v>
      </c>
      <c r="L15" s="1">
        <f>'Data Sheet'!B8</f>
        <v>7131</v>
      </c>
      <c r="M15" s="8">
        <f>M13*M14</f>
        <v>5125.6987477521061</v>
      </c>
      <c r="N15" s="9">
        <f>N13*N14</f>
        <v>3713.9810697309963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0.20298346835670086</v>
      </c>
      <c r="C18" s="5">
        <f>IF('Data Sheet'!C30&gt;0, 'Data Sheet'!C31/'Data Sheet'!C30, 0)</f>
        <v>0.16321952155865346</v>
      </c>
      <c r="D18" s="5">
        <f>IF('Data Sheet'!D30&gt;0, 'Data Sheet'!D31/'Data Sheet'!D30, 0)</f>
        <v>0.1530155587420331</v>
      </c>
      <c r="E18" s="5">
        <f>IF('Data Sheet'!E30&gt;0, 'Data Sheet'!E31/'Data Sheet'!E30, 0)</f>
        <v>0.15480789747268162</v>
      </c>
      <c r="F18" s="5">
        <f>IF('Data Sheet'!F30&gt;0, 'Data Sheet'!F31/'Data Sheet'!F30, 0)</f>
        <v>0.18673663704417107</v>
      </c>
      <c r="G18" s="5">
        <f>IF('Data Sheet'!G30&gt;0, 'Data Sheet'!G31/'Data Sheet'!G30, 0)</f>
        <v>0.34495021865185721</v>
      </c>
      <c r="H18" s="5">
        <f>IF('Data Sheet'!H30&gt;0, 'Data Sheet'!H31/'Data Sheet'!H30, 0)</f>
        <v>0.34244303948467136</v>
      </c>
      <c r="I18" s="5">
        <f>IF('Data Sheet'!I30&gt;0, 'Data Sheet'!I31/'Data Sheet'!I30, 0)</f>
        <v>0.34727894191369763</v>
      </c>
      <c r="J18" s="5">
        <f>IF('Data Sheet'!J30&gt;0, 'Data Sheet'!J31/'Data Sheet'!J30, 0)</f>
        <v>0.34900687576386963</v>
      </c>
      <c r="K18" s="5">
        <f>IF('Data Sheet'!K30&gt;0, 'Data Sheet'!K31/'Data Sheet'!K30, 0)</f>
        <v>0.40541225572612605</v>
      </c>
    </row>
    <row r="19" spans="1:14" x14ac:dyDescent="0.25">
      <c r="A19" t="s">
        <v>18</v>
      </c>
      <c r="B19" s="5">
        <f t="shared" ref="B19:L19" si="4">IF(B6&gt;0,B6/B4,0)</f>
        <v>0.27370874679677204</v>
      </c>
      <c r="C19" s="5">
        <f t="shared" ref="C19:K19" si="5">IF(C6&gt;0,C6/C4,0)</f>
        <v>0.30914242979173534</v>
      </c>
      <c r="D19" s="5">
        <f t="shared" si="5"/>
        <v>0.31328974139315729</v>
      </c>
      <c r="E19" s="5">
        <f t="shared" si="5"/>
        <v>0.29643995239388132</v>
      </c>
      <c r="F19" s="5">
        <f t="shared" si="5"/>
        <v>0.23847390856910633</v>
      </c>
      <c r="G19" s="5">
        <f t="shared" si="5"/>
        <v>0.20449064544427684</v>
      </c>
      <c r="H19" s="5">
        <f t="shared" si="5"/>
        <v>0.21145911323065147</v>
      </c>
      <c r="I19" s="5">
        <f t="shared" si="5"/>
        <v>0.23858724929338931</v>
      </c>
      <c r="J19" s="5">
        <f t="shared" si="5"/>
        <v>0.26181831156437724</v>
      </c>
      <c r="K19" s="5">
        <f t="shared" si="5"/>
        <v>0.25026403855784329</v>
      </c>
      <c r="L19" s="5">
        <f t="shared" si="4"/>
        <v>0.24499060197850284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0.13218347816326093</v>
      </c>
      <c r="I23" s="5">
        <f>IF(D4=0,"",POWER($K4/D4,1/7)-1)</f>
        <v>0.11218220677231638</v>
      </c>
      <c r="J23" s="5">
        <f>IF(F4=0,"",POWER($K4/F4,1/5)-1)</f>
        <v>0.15568052490284168</v>
      </c>
      <c r="K23" s="5">
        <f>IF(H4=0,"",POWER($K4/H4, 1/3)-1)</f>
        <v>0.22370878852741982</v>
      </c>
      <c r="L23" s="5">
        <f>IF(ISERROR(MAX(IF(J4=0,"",(K4-J4)/J4),IF(K4=0,"",(L4-K4)/K4))),"",MAX(IF(J4=0,"",(K4-J4)/J4),IF(K4=0,"",(L4-K4)/K4)))</f>
        <v>0.19598099664288174</v>
      </c>
      <c r="M23" s="16">
        <f>MAX(K23:L23)</f>
        <v>0.22370878852741982</v>
      </c>
      <c r="N23" s="16">
        <f>MIN(H23:L23)</f>
        <v>0.11218220677231638</v>
      </c>
    </row>
    <row r="24" spans="1:14" x14ac:dyDescent="0.25">
      <c r="G24" t="s">
        <v>18</v>
      </c>
      <c r="H24" s="5">
        <f>IF(SUM(B4:$K$4)=0,"",SUMPRODUCT(B19:$K$19,B4:$K$4)/SUM(B4:$K$4))</f>
        <v>0.25655550182286552</v>
      </c>
      <c r="I24" s="5">
        <f>IF(SUM(E4:$K$4)=0,"",SUMPRODUCT(E19:$K$19,E4:$K$4)/SUM(E4:$K$4))</f>
        <v>0.24534609591545517</v>
      </c>
      <c r="J24" s="5">
        <f>IF(SUM(G4:$K$4)=0,"",SUMPRODUCT(G19:$K$19,G4:$K$4)/SUM(G4:$K$4))</f>
        <v>0.23899083574609362</v>
      </c>
      <c r="K24" s="5">
        <f>IF(SUM(I4:$K$4)=0, "", SUMPRODUCT(I19:$K$19,I4:$K$4)/SUM(I4:$K$4))</f>
        <v>0.25071381557368738</v>
      </c>
      <c r="L24" s="5">
        <f>L19</f>
        <v>0.24499060197850284</v>
      </c>
      <c r="M24" s="16">
        <f>MAX(K24:L24)</f>
        <v>0.25071381557368738</v>
      </c>
      <c r="N24" s="16">
        <f>MIN(H24:L24)</f>
        <v>0.23899083574609362</v>
      </c>
    </row>
    <row r="25" spans="1:14" x14ac:dyDescent="0.25">
      <c r="G25" t="s">
        <v>23</v>
      </c>
      <c r="H25" s="6">
        <f>IF(ISERROR(AVERAGEIF(B14:$L14,"&gt;0")),"",AVERAGEIF(B14:$L14,"&gt;0"))</f>
        <v>34.614165663834086</v>
      </c>
      <c r="I25" s="6">
        <f>IF(ISERROR(AVERAGEIF(E14:$L14,"&gt;0")),"",AVERAGEIF(E14:$L14,"&gt;0"))</f>
        <v>32.573840075647873</v>
      </c>
      <c r="J25" s="6">
        <f>IF(ISERROR(AVERAGEIF(G14:$L14,"&gt;0")),"",AVERAGEIF(G14:$L14,"&gt;0"))</f>
        <v>35.928684978503519</v>
      </c>
      <c r="K25" s="6">
        <f>IF(ISERROR(AVERAGEIF(I14:$L14,"&gt;0")),"",AVERAGEIF(I14:$L14,"&gt;0"))</f>
        <v>30.666646441834764</v>
      </c>
      <c r="L25" s="6">
        <f>L14</f>
        <v>36.512001090074911</v>
      </c>
      <c r="M25" s="1">
        <f>MAX(K25:L25)</f>
        <v>36.512001090074911</v>
      </c>
      <c r="N25" s="1">
        <f>MIN(H25:L25)</f>
        <v>30.666646441834764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EICHER MOTORS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25">
      <c r="A4" s="2" t="s">
        <v>6</v>
      </c>
      <c r="B4" s="1">
        <f>'Data Sheet'!B42</f>
        <v>4114.53</v>
      </c>
      <c r="C4" s="1">
        <f>'Data Sheet'!C42</f>
        <v>4178.84</v>
      </c>
      <c r="D4" s="1">
        <f>'Data Sheet'!D42</f>
        <v>4256.04</v>
      </c>
      <c r="E4" s="1">
        <f>'Data Sheet'!E42</f>
        <v>4393.05</v>
      </c>
      <c r="F4" s="1">
        <f>'Data Sheet'!F42</f>
        <v>4263.07</v>
      </c>
      <c r="G4" s="1">
        <f>'Data Sheet'!G42</f>
        <v>4973.12</v>
      </c>
      <c r="H4" s="1">
        <f>'Data Sheet'!H42</f>
        <v>5241.1099999999997</v>
      </c>
      <c r="I4" s="1">
        <f>'Data Sheet'!I42</f>
        <v>5041.84</v>
      </c>
      <c r="J4" s="1">
        <f>'Data Sheet'!J42</f>
        <v>6171.59</v>
      </c>
      <c r="K4" s="1">
        <f>'Data Sheet'!K42</f>
        <v>6114.04</v>
      </c>
    </row>
    <row r="5" spans="1:11" x14ac:dyDescent="0.25">
      <c r="A5" t="s">
        <v>7</v>
      </c>
      <c r="B5" s="6">
        <f>'Data Sheet'!B43</f>
        <v>3027.37</v>
      </c>
      <c r="C5" s="6">
        <f>'Data Sheet'!C43</f>
        <v>3088.57</v>
      </c>
      <c r="D5" s="6">
        <f>'Data Sheet'!D43</f>
        <v>3127.4</v>
      </c>
      <c r="E5" s="6">
        <f>'Data Sheet'!E43</f>
        <v>3227.62</v>
      </c>
      <c r="F5" s="6">
        <f>'Data Sheet'!F43</f>
        <v>3175.35</v>
      </c>
      <c r="G5" s="6">
        <f>'Data Sheet'!G43</f>
        <v>3771.93</v>
      </c>
      <c r="H5" s="6">
        <f>'Data Sheet'!H43</f>
        <v>3983.42</v>
      </c>
      <c r="I5" s="6">
        <f>'Data Sheet'!I43</f>
        <v>3839.06</v>
      </c>
      <c r="J5" s="6">
        <f>'Data Sheet'!J43</f>
        <v>4659.6899999999996</v>
      </c>
      <c r="K5" s="6">
        <f>'Data Sheet'!K43</f>
        <v>4557.32</v>
      </c>
    </row>
    <row r="6" spans="1:11" s="2" customFormat="1" x14ac:dyDescent="0.25">
      <c r="A6" s="2" t="s">
        <v>8</v>
      </c>
      <c r="B6" s="1">
        <f>'Data Sheet'!B50</f>
        <v>1087.1600000000001</v>
      </c>
      <c r="C6" s="1">
        <f>'Data Sheet'!C50</f>
        <v>1090.27</v>
      </c>
      <c r="D6" s="1">
        <f>'Data Sheet'!D50</f>
        <v>1128.6400000000001</v>
      </c>
      <c r="E6" s="1">
        <f>'Data Sheet'!E50</f>
        <v>1165.43</v>
      </c>
      <c r="F6" s="1">
        <f>'Data Sheet'!F50</f>
        <v>1087.72</v>
      </c>
      <c r="G6" s="1">
        <f>'Data Sheet'!G50</f>
        <v>1201.19</v>
      </c>
      <c r="H6" s="1">
        <f>'Data Sheet'!H50</f>
        <v>1257.69</v>
      </c>
      <c r="I6" s="1">
        <f>'Data Sheet'!I50</f>
        <v>1202.78</v>
      </c>
      <c r="J6" s="1">
        <f>'Data Sheet'!J50</f>
        <v>1511.9</v>
      </c>
      <c r="K6" s="1">
        <f>'Data Sheet'!K50</f>
        <v>1556.72</v>
      </c>
    </row>
    <row r="7" spans="1:11" x14ac:dyDescent="0.25">
      <c r="A7" t="s">
        <v>9</v>
      </c>
      <c r="B7" s="6">
        <f>'Data Sheet'!B44</f>
        <v>375.4</v>
      </c>
      <c r="C7" s="6">
        <f>'Data Sheet'!C44</f>
        <v>367.58</v>
      </c>
      <c r="D7" s="6">
        <f>'Data Sheet'!D44</f>
        <v>436.96</v>
      </c>
      <c r="E7" s="6">
        <f>'Data Sheet'!E44</f>
        <v>456.51</v>
      </c>
      <c r="F7" s="6">
        <f>'Data Sheet'!F44</f>
        <v>467.53</v>
      </c>
      <c r="G7" s="6">
        <f>'Data Sheet'!G44</f>
        <v>452.29</v>
      </c>
      <c r="H7" s="6">
        <f>'Data Sheet'!H44</f>
        <v>628.38</v>
      </c>
      <c r="I7" s="6">
        <f>'Data Sheet'!I44</f>
        <v>603.16999999999996</v>
      </c>
      <c r="J7" s="6">
        <f>'Data Sheet'!J44</f>
        <v>485.83</v>
      </c>
      <c r="K7" s="6">
        <f>'Data Sheet'!K44</f>
        <v>464.85</v>
      </c>
    </row>
    <row r="8" spans="1:11" x14ac:dyDescent="0.25">
      <c r="A8" t="s">
        <v>10</v>
      </c>
      <c r="B8" s="6">
        <f>'Data Sheet'!B45</f>
        <v>142.54</v>
      </c>
      <c r="C8" s="6">
        <f>'Data Sheet'!C45</f>
        <v>147.54</v>
      </c>
      <c r="D8" s="6">
        <f>'Data Sheet'!D45</f>
        <v>165.25</v>
      </c>
      <c r="E8" s="6">
        <f>'Data Sheet'!E45</f>
        <v>168.63</v>
      </c>
      <c r="F8" s="6">
        <f>'Data Sheet'!F45</f>
        <v>180.06</v>
      </c>
      <c r="G8" s="6">
        <f>'Data Sheet'!G45</f>
        <v>179.27</v>
      </c>
      <c r="H8" s="6">
        <f>'Data Sheet'!H45</f>
        <v>201.37</v>
      </c>
      <c r="I8" s="6">
        <f>'Data Sheet'!I45</f>
        <v>198.06</v>
      </c>
      <c r="J8" s="6">
        <f>'Data Sheet'!J45</f>
        <v>199.56</v>
      </c>
      <c r="K8" s="6">
        <f>'Data Sheet'!K45</f>
        <v>211.1</v>
      </c>
    </row>
    <row r="9" spans="1:11" x14ac:dyDescent="0.25">
      <c r="A9" t="s">
        <v>11</v>
      </c>
      <c r="B9" s="6">
        <f>'Data Sheet'!B46</f>
        <v>12.68</v>
      </c>
      <c r="C9" s="6">
        <f>'Data Sheet'!C46</f>
        <v>12.43</v>
      </c>
      <c r="D9" s="6">
        <f>'Data Sheet'!D46</f>
        <v>15.34</v>
      </c>
      <c r="E9" s="6">
        <f>'Data Sheet'!E46</f>
        <v>12.27</v>
      </c>
      <c r="F9" s="6">
        <f>'Data Sheet'!F46</f>
        <v>13.14</v>
      </c>
      <c r="G9" s="6">
        <f>'Data Sheet'!G46</f>
        <v>13.39</v>
      </c>
      <c r="H9" s="6">
        <f>'Data Sheet'!H46</f>
        <v>15.54</v>
      </c>
      <c r="I9" s="6">
        <f>'Data Sheet'!I46</f>
        <v>14.9</v>
      </c>
      <c r="J9" s="6">
        <f>'Data Sheet'!J46</f>
        <v>19.16</v>
      </c>
      <c r="K9" s="6">
        <f>'Data Sheet'!K46</f>
        <v>17.27</v>
      </c>
    </row>
    <row r="10" spans="1:11" x14ac:dyDescent="0.25">
      <c r="A10" t="s">
        <v>12</v>
      </c>
      <c r="B10" s="6">
        <f>'Data Sheet'!B47</f>
        <v>1307.3399999999999</v>
      </c>
      <c r="C10" s="6">
        <f>'Data Sheet'!C47</f>
        <v>1297.8800000000001</v>
      </c>
      <c r="D10" s="6">
        <f>'Data Sheet'!D47</f>
        <v>1385.01</v>
      </c>
      <c r="E10" s="6">
        <f>'Data Sheet'!E47</f>
        <v>1441.04</v>
      </c>
      <c r="F10" s="6">
        <f>'Data Sheet'!F47</f>
        <v>1362.05</v>
      </c>
      <c r="G10" s="6">
        <f>'Data Sheet'!G47</f>
        <v>1460.82</v>
      </c>
      <c r="H10" s="6">
        <f>'Data Sheet'!H47</f>
        <v>1669.16</v>
      </c>
      <c r="I10" s="6">
        <f>'Data Sheet'!I47</f>
        <v>1592.99</v>
      </c>
      <c r="J10" s="6">
        <f>'Data Sheet'!J47</f>
        <v>1779.01</v>
      </c>
      <c r="K10" s="6">
        <f>'Data Sheet'!K47</f>
        <v>1793.2</v>
      </c>
    </row>
    <row r="11" spans="1:11" x14ac:dyDescent="0.25">
      <c r="A11" t="s">
        <v>13</v>
      </c>
      <c r="B11" s="6">
        <f>'Data Sheet'!B48</f>
        <v>291.08999999999997</v>
      </c>
      <c r="C11" s="6">
        <f>'Data Sheet'!C48</f>
        <v>301.91000000000003</v>
      </c>
      <c r="D11" s="6">
        <f>'Data Sheet'!D48</f>
        <v>314.56</v>
      </c>
      <c r="E11" s="6">
        <f>'Data Sheet'!E48</f>
        <v>339.58</v>
      </c>
      <c r="F11" s="6">
        <f>'Data Sheet'!F48</f>
        <v>261.72000000000003</v>
      </c>
      <c r="G11" s="6">
        <f>'Data Sheet'!G48</f>
        <v>290.32</v>
      </c>
      <c r="H11" s="6">
        <f>'Data Sheet'!H48</f>
        <v>307.01</v>
      </c>
      <c r="I11" s="6">
        <f>'Data Sheet'!I48</f>
        <v>387.77</v>
      </c>
      <c r="J11" s="6">
        <f>'Data Sheet'!J48</f>
        <v>409.56</v>
      </c>
      <c r="K11" s="6">
        <f>'Data Sheet'!K48</f>
        <v>372.59</v>
      </c>
    </row>
    <row r="12" spans="1:11" s="2" customFormat="1" x14ac:dyDescent="0.25">
      <c r="A12" s="2" t="s">
        <v>14</v>
      </c>
      <c r="B12" s="1">
        <f>'Data Sheet'!B49</f>
        <v>1016.25</v>
      </c>
      <c r="C12" s="1">
        <f>'Data Sheet'!C49</f>
        <v>995.97</v>
      </c>
      <c r="D12" s="1">
        <f>'Data Sheet'!D49</f>
        <v>1070.45</v>
      </c>
      <c r="E12" s="1">
        <f>'Data Sheet'!E49</f>
        <v>1101.46</v>
      </c>
      <c r="F12" s="1">
        <f>'Data Sheet'!F49</f>
        <v>1100.33</v>
      </c>
      <c r="G12" s="1">
        <f>'Data Sheet'!G49</f>
        <v>1170.5</v>
      </c>
      <c r="H12" s="1">
        <f>'Data Sheet'!H49</f>
        <v>1362.15</v>
      </c>
      <c r="I12" s="1">
        <f>'Data Sheet'!I49</f>
        <v>1205.22</v>
      </c>
      <c r="J12" s="1">
        <f>'Data Sheet'!J49</f>
        <v>1369.45</v>
      </c>
      <c r="K12" s="1">
        <f>'Data Sheet'!K49</f>
        <v>1420.61</v>
      </c>
    </row>
    <row r="14" spans="1:11" s="2" customFormat="1" x14ac:dyDescent="0.25">
      <c r="A14" s="2" t="s">
        <v>18</v>
      </c>
      <c r="B14" s="10">
        <f>IF(B4&gt;0,B6/B4,"")</f>
        <v>0.26422458944277966</v>
      </c>
      <c r="C14" s="10">
        <f t="shared" ref="C14:K14" si="0">IF(C4&gt;0,C6/C4,"")</f>
        <v>0.26090254711833905</v>
      </c>
      <c r="D14" s="10">
        <f t="shared" si="0"/>
        <v>0.26518547758009797</v>
      </c>
      <c r="E14" s="10">
        <f t="shared" si="0"/>
        <v>0.26528949135566404</v>
      </c>
      <c r="F14" s="10">
        <f t="shared" si="0"/>
        <v>0.25514945801969008</v>
      </c>
      <c r="G14" s="10">
        <f t="shared" si="0"/>
        <v>0.24153650022521075</v>
      </c>
      <c r="H14" s="10">
        <f t="shared" si="0"/>
        <v>0.2399663430074927</v>
      </c>
      <c r="I14" s="10">
        <f t="shared" si="0"/>
        <v>0.23855973216127443</v>
      </c>
      <c r="J14" s="10">
        <f t="shared" si="0"/>
        <v>0.24497738832294433</v>
      </c>
      <c r="K14" s="10">
        <f t="shared" si="0"/>
        <v>0.25461397046797207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EICHER MOTORS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25">
      <c r="A4" t="s">
        <v>24</v>
      </c>
      <c r="B4" s="14">
        <f>'Data Sheet'!B57</f>
        <v>27.16</v>
      </c>
      <c r="C4" s="14">
        <f>'Data Sheet'!C57</f>
        <v>27.21</v>
      </c>
      <c r="D4" s="14">
        <f>'Data Sheet'!D57</f>
        <v>27.26</v>
      </c>
      <c r="E4" s="14">
        <f>'Data Sheet'!E57</f>
        <v>27.28</v>
      </c>
      <c r="F4" s="14">
        <f>'Data Sheet'!F57</f>
        <v>27.3</v>
      </c>
      <c r="G4" s="14">
        <f>'Data Sheet'!G57</f>
        <v>27.33</v>
      </c>
      <c r="H4" s="14">
        <f>'Data Sheet'!H57</f>
        <v>27.34</v>
      </c>
      <c r="I4" s="14">
        <f>'Data Sheet'!I57</f>
        <v>27.35</v>
      </c>
      <c r="J4" s="14">
        <f>'Data Sheet'!J57</f>
        <v>27.38</v>
      </c>
      <c r="K4" s="14">
        <f>'Data Sheet'!K57</f>
        <v>27.42</v>
      </c>
    </row>
    <row r="5" spans="1:11" x14ac:dyDescent="0.25">
      <c r="A5" t="s">
        <v>25</v>
      </c>
      <c r="B5" s="14">
        <f>'Data Sheet'!B58</f>
        <v>3625.93</v>
      </c>
      <c r="C5" s="14">
        <f>'Data Sheet'!C58</f>
        <v>5317.86</v>
      </c>
      <c r="D5" s="14">
        <f>'Data Sheet'!D58</f>
        <v>7002.81</v>
      </c>
      <c r="E5" s="14">
        <f>'Data Sheet'!E58</f>
        <v>8891.44</v>
      </c>
      <c r="F5" s="14">
        <f>'Data Sheet'!F58</f>
        <v>9953.6299999999992</v>
      </c>
      <c r="G5" s="14">
        <f>'Data Sheet'!G58</f>
        <v>11410.75</v>
      </c>
      <c r="H5" s="14">
        <f>'Data Sheet'!H58</f>
        <v>12580.66</v>
      </c>
      <c r="I5" s="14">
        <f>'Data Sheet'!I58</f>
        <v>14962.93</v>
      </c>
      <c r="J5" s="14">
        <f>'Data Sheet'!J58</f>
        <v>18018.150000000001</v>
      </c>
      <c r="K5" s="14">
        <f>'Data Sheet'!K58</f>
        <v>21269.07</v>
      </c>
    </row>
    <row r="6" spans="1:11" x14ac:dyDescent="0.25">
      <c r="A6" t="s">
        <v>71</v>
      </c>
      <c r="B6" s="14">
        <f>'Data Sheet'!B59</f>
        <v>22.57</v>
      </c>
      <c r="C6" s="14">
        <f>'Data Sheet'!C59</f>
        <v>111.85</v>
      </c>
      <c r="D6" s="14">
        <f>'Data Sheet'!D59</f>
        <v>150.84</v>
      </c>
      <c r="E6" s="14">
        <f>'Data Sheet'!E59</f>
        <v>186.76</v>
      </c>
      <c r="F6" s="14">
        <f>'Data Sheet'!F59</f>
        <v>249</v>
      </c>
      <c r="G6" s="14">
        <f>'Data Sheet'!G59</f>
        <v>219.25</v>
      </c>
      <c r="H6" s="14">
        <f>'Data Sheet'!H59</f>
        <v>107.71</v>
      </c>
      <c r="I6" s="14">
        <f>'Data Sheet'!I59</f>
        <v>288.41000000000003</v>
      </c>
      <c r="J6" s="14">
        <f>'Data Sheet'!J59</f>
        <v>419.44</v>
      </c>
      <c r="K6" s="14">
        <f>'Data Sheet'!K59</f>
        <v>458.13</v>
      </c>
    </row>
    <row r="7" spans="1:11" x14ac:dyDescent="0.25">
      <c r="A7" t="s">
        <v>72</v>
      </c>
      <c r="B7" s="14">
        <f>'Data Sheet'!B60</f>
        <v>1263.3499999999999</v>
      </c>
      <c r="C7" s="14">
        <f>'Data Sheet'!C60</f>
        <v>1552.16</v>
      </c>
      <c r="D7" s="14">
        <f>'Data Sheet'!D60</f>
        <v>2341.3200000000002</v>
      </c>
      <c r="E7" s="14">
        <f>'Data Sheet'!E60</f>
        <v>2281.35</v>
      </c>
      <c r="F7" s="14">
        <f>'Data Sheet'!F60</f>
        <v>2219.79</v>
      </c>
      <c r="G7" s="14">
        <f>'Data Sheet'!G60</f>
        <v>2901.28</v>
      </c>
      <c r="H7" s="14">
        <f>'Data Sheet'!H60</f>
        <v>3424.12</v>
      </c>
      <c r="I7" s="14">
        <f>'Data Sheet'!I60</f>
        <v>3918.95</v>
      </c>
      <c r="J7" s="14">
        <f>'Data Sheet'!J60</f>
        <v>4650.16</v>
      </c>
      <c r="K7" s="14">
        <f>'Data Sheet'!K60</f>
        <v>5419.79</v>
      </c>
    </row>
    <row r="8" spans="1:11" s="2" customFormat="1" x14ac:dyDescent="0.25">
      <c r="A8" s="2" t="s">
        <v>26</v>
      </c>
      <c r="B8" s="15">
        <f>'Data Sheet'!B61</f>
        <v>4939.01</v>
      </c>
      <c r="C8" s="15">
        <f>'Data Sheet'!C61</f>
        <v>7009.08</v>
      </c>
      <c r="D8" s="15">
        <f>'Data Sheet'!D61</f>
        <v>9522.23</v>
      </c>
      <c r="E8" s="15">
        <f>'Data Sheet'!E61</f>
        <v>11386.83</v>
      </c>
      <c r="F8" s="15">
        <f>'Data Sheet'!F61</f>
        <v>12449.72</v>
      </c>
      <c r="G8" s="15">
        <f>'Data Sheet'!G61</f>
        <v>14558.61</v>
      </c>
      <c r="H8" s="15">
        <f>'Data Sheet'!H61</f>
        <v>16139.83</v>
      </c>
      <c r="I8" s="15">
        <f>'Data Sheet'!I61</f>
        <v>19197.64</v>
      </c>
      <c r="J8" s="15">
        <f>'Data Sheet'!J61</f>
        <v>23115.13</v>
      </c>
      <c r="K8" s="15">
        <f>'Data Sheet'!K61</f>
        <v>27174.41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789.59</v>
      </c>
      <c r="C10" s="14">
        <f>'Data Sheet'!C62</f>
        <v>872.78</v>
      </c>
      <c r="D10" s="14">
        <f>'Data Sheet'!D62</f>
        <v>1501.69</v>
      </c>
      <c r="E10" s="14">
        <f>'Data Sheet'!E62</f>
        <v>1874.58</v>
      </c>
      <c r="F10" s="14">
        <f>'Data Sheet'!F62</f>
        <v>2377.52</v>
      </c>
      <c r="G10" s="14">
        <f>'Data Sheet'!G62</f>
        <v>2433.3000000000002</v>
      </c>
      <c r="H10" s="14">
        <f>'Data Sheet'!H62</f>
        <v>2424.2800000000002</v>
      </c>
      <c r="I10" s="14">
        <f>'Data Sheet'!I62</f>
        <v>2689.99</v>
      </c>
      <c r="J10" s="14">
        <f>'Data Sheet'!J62</f>
        <v>2914.38</v>
      </c>
      <c r="K10" s="14">
        <f>'Data Sheet'!K62</f>
        <v>3473.47</v>
      </c>
    </row>
    <row r="11" spans="1:11" x14ac:dyDescent="0.25">
      <c r="A11" t="s">
        <v>28</v>
      </c>
      <c r="B11" s="14">
        <f>'Data Sheet'!B63</f>
        <v>94.48</v>
      </c>
      <c r="C11" s="14">
        <f>'Data Sheet'!C63</f>
        <v>373.77</v>
      </c>
      <c r="D11" s="14">
        <f>'Data Sheet'!D63</f>
        <v>333.21</v>
      </c>
      <c r="E11" s="14">
        <f>'Data Sheet'!E63</f>
        <v>449.74</v>
      </c>
      <c r="F11" s="14">
        <f>'Data Sheet'!F63</f>
        <v>312.17</v>
      </c>
      <c r="G11" s="14">
        <f>'Data Sheet'!G63</f>
        <v>314.29000000000002</v>
      </c>
      <c r="H11" s="14">
        <f>'Data Sheet'!H63</f>
        <v>504.78</v>
      </c>
      <c r="I11" s="14">
        <f>'Data Sheet'!I63</f>
        <v>472.07</v>
      </c>
      <c r="J11" s="14">
        <f>'Data Sheet'!J63</f>
        <v>555.1</v>
      </c>
      <c r="K11" s="14">
        <f>'Data Sheet'!K63</f>
        <v>491.47</v>
      </c>
    </row>
    <row r="12" spans="1:11" x14ac:dyDescent="0.25">
      <c r="A12" t="s">
        <v>29</v>
      </c>
      <c r="B12" s="14">
        <f>'Data Sheet'!B64</f>
        <v>3388.24</v>
      </c>
      <c r="C12" s="14">
        <f>'Data Sheet'!C64</f>
        <v>4987.13</v>
      </c>
      <c r="D12" s="14">
        <f>'Data Sheet'!D64</f>
        <v>5580.84</v>
      </c>
      <c r="E12" s="14">
        <f>'Data Sheet'!E64</f>
        <v>4922.5200000000004</v>
      </c>
      <c r="F12" s="14">
        <f>'Data Sheet'!F64</f>
        <v>5748.77</v>
      </c>
      <c r="G12" s="14">
        <f>'Data Sheet'!G64</f>
        <v>3902.14</v>
      </c>
      <c r="H12" s="14">
        <f>'Data Sheet'!H64</f>
        <v>7720.58</v>
      </c>
      <c r="I12" s="14">
        <f>'Data Sheet'!I64</f>
        <v>12320.66</v>
      </c>
      <c r="J12" s="14">
        <f>'Data Sheet'!J64</f>
        <v>13526.96</v>
      </c>
      <c r="K12" s="14">
        <f>'Data Sheet'!K64</f>
        <v>14790.9</v>
      </c>
    </row>
    <row r="13" spans="1:11" x14ac:dyDescent="0.25">
      <c r="A13" t="s">
        <v>73</v>
      </c>
      <c r="B13" s="14">
        <f>'Data Sheet'!B65</f>
        <v>666.7</v>
      </c>
      <c r="C13" s="14">
        <f>'Data Sheet'!C65</f>
        <v>775.4</v>
      </c>
      <c r="D13" s="14">
        <f>'Data Sheet'!D65</f>
        <v>2106.4899999999998</v>
      </c>
      <c r="E13" s="14">
        <f>'Data Sheet'!E65</f>
        <v>4139.99</v>
      </c>
      <c r="F13" s="14">
        <f>'Data Sheet'!F65</f>
        <v>4011.26</v>
      </c>
      <c r="G13" s="14">
        <f>'Data Sheet'!G65</f>
        <v>7908.88</v>
      </c>
      <c r="H13" s="14">
        <f>'Data Sheet'!H65</f>
        <v>5490.19</v>
      </c>
      <c r="I13" s="14">
        <f>'Data Sheet'!I65</f>
        <v>3714.92</v>
      </c>
      <c r="J13" s="14">
        <f>'Data Sheet'!J65</f>
        <v>6118.69</v>
      </c>
      <c r="K13" s="14">
        <f>'Data Sheet'!K65</f>
        <v>8418.57</v>
      </c>
    </row>
    <row r="14" spans="1:11" s="2" customFormat="1" x14ac:dyDescent="0.25">
      <c r="A14" s="2" t="s">
        <v>26</v>
      </c>
      <c r="B14" s="14">
        <f>'Data Sheet'!B66</f>
        <v>4939.01</v>
      </c>
      <c r="C14" s="14">
        <f>'Data Sheet'!C66</f>
        <v>7009.08</v>
      </c>
      <c r="D14" s="14">
        <f>'Data Sheet'!D66</f>
        <v>9522.23</v>
      </c>
      <c r="E14" s="14">
        <f>'Data Sheet'!E66</f>
        <v>11386.83</v>
      </c>
      <c r="F14" s="14">
        <f>'Data Sheet'!F66</f>
        <v>12449.72</v>
      </c>
      <c r="G14" s="14">
        <f>'Data Sheet'!G66</f>
        <v>14558.61</v>
      </c>
      <c r="H14" s="14">
        <f>'Data Sheet'!H66</f>
        <v>16139.83</v>
      </c>
      <c r="I14" s="14">
        <f>'Data Sheet'!I66</f>
        <v>19197.64</v>
      </c>
      <c r="J14" s="14">
        <f>'Data Sheet'!J66</f>
        <v>23115.13</v>
      </c>
      <c r="K14" s="14">
        <f>'Data Sheet'!K66</f>
        <v>27174.41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-596.64999999999986</v>
      </c>
      <c r="C16" s="4">
        <f t="shared" ref="C16:K16" si="0">C13-C7</f>
        <v>-776.7600000000001</v>
      </c>
      <c r="D16" s="4">
        <f t="shared" si="0"/>
        <v>-234.83000000000038</v>
      </c>
      <c r="E16" s="4">
        <f t="shared" si="0"/>
        <v>1858.6399999999999</v>
      </c>
      <c r="F16" s="4">
        <f t="shared" si="0"/>
        <v>1791.4700000000003</v>
      </c>
      <c r="G16" s="4">
        <f t="shared" si="0"/>
        <v>5007.6000000000004</v>
      </c>
      <c r="H16" s="4">
        <f t="shared" si="0"/>
        <v>2066.0699999999997</v>
      </c>
      <c r="I16" s="4">
        <f t="shared" si="0"/>
        <v>-204.02999999999975</v>
      </c>
      <c r="J16" s="4">
        <f t="shared" si="0"/>
        <v>1468.5299999999997</v>
      </c>
      <c r="K16" s="4">
        <f t="shared" si="0"/>
        <v>2998.7799999999997</v>
      </c>
    </row>
    <row r="17" spans="1:11" x14ac:dyDescent="0.25">
      <c r="A17" t="s">
        <v>44</v>
      </c>
      <c r="B17" s="4">
        <f>'Data Sheet'!B67</f>
        <v>32.64</v>
      </c>
      <c r="C17" s="4">
        <f>'Data Sheet'!C67</f>
        <v>50.04</v>
      </c>
      <c r="D17" s="4">
        <f>'Data Sheet'!D67</f>
        <v>68</v>
      </c>
      <c r="E17" s="4">
        <f>'Data Sheet'!E67</f>
        <v>84.29</v>
      </c>
      <c r="F17" s="4">
        <f>'Data Sheet'!F67</f>
        <v>86.76</v>
      </c>
      <c r="G17" s="4">
        <f>'Data Sheet'!G67</f>
        <v>158.16</v>
      </c>
      <c r="H17" s="4">
        <f>'Data Sheet'!H67</f>
        <v>302.04000000000002</v>
      </c>
      <c r="I17" s="4">
        <f>'Data Sheet'!I67</f>
        <v>368.92</v>
      </c>
      <c r="J17" s="4">
        <f>'Data Sheet'!J67</f>
        <v>373.78</v>
      </c>
      <c r="K17" s="4">
        <f>'Data Sheet'!K67</f>
        <v>549.64</v>
      </c>
    </row>
    <row r="18" spans="1:11" x14ac:dyDescent="0.25">
      <c r="A18" t="s">
        <v>45</v>
      </c>
      <c r="B18" s="4">
        <f>'Data Sheet'!B68</f>
        <v>308.39</v>
      </c>
      <c r="C18" s="4">
        <f>'Data Sheet'!C68</f>
        <v>335.9</v>
      </c>
      <c r="D18" s="4">
        <f>'Data Sheet'!D68</f>
        <v>394.64</v>
      </c>
      <c r="E18" s="4">
        <f>'Data Sheet'!E68</f>
        <v>633.38</v>
      </c>
      <c r="F18" s="4">
        <f>'Data Sheet'!F68</f>
        <v>572.35</v>
      </c>
      <c r="G18" s="4">
        <f>'Data Sheet'!G68</f>
        <v>874.6</v>
      </c>
      <c r="H18" s="4">
        <f>'Data Sheet'!H68</f>
        <v>1132.4000000000001</v>
      </c>
      <c r="I18" s="4">
        <f>'Data Sheet'!I68</f>
        <v>1278.44</v>
      </c>
      <c r="J18" s="4">
        <f>'Data Sheet'!J68</f>
        <v>1409.64</v>
      </c>
      <c r="K18" s="4">
        <f>'Data Sheet'!K68</f>
        <v>1563.75</v>
      </c>
    </row>
    <row r="20" spans="1:11" x14ac:dyDescent="0.25">
      <c r="A20" t="s">
        <v>46</v>
      </c>
      <c r="B20" s="4">
        <f>IF('Profit &amp; Loss'!B4&gt;0,'Balance Sheet'!B17/('Profit &amp; Loss'!B4/365),0)</f>
        <v>1.9298092155776503</v>
      </c>
      <c r="C20" s="4">
        <f>IF('Profit &amp; Loss'!C4&gt;0,'Balance Sheet'!C17/('Profit &amp; Loss'!C4/365),0)</f>
        <v>2.5968527133546417</v>
      </c>
      <c r="D20" s="4">
        <f>IF('Profit &amp; Loss'!D4&gt;0,'Balance Sheet'!D17/('Profit &amp; Loss'!D4/365),0)</f>
        <v>2.7685566918313076</v>
      </c>
      <c r="E20" s="4">
        <f>IF('Profit &amp; Loss'!E4&gt;0,'Balance Sheet'!E17/('Profit &amp; Loss'!E4/365),0)</f>
        <v>3.140314543342595</v>
      </c>
      <c r="F20" s="4">
        <f>IF('Profit &amp; Loss'!F4&gt;0,'Balance Sheet'!F17/('Profit &amp; Loss'!F4/365),0)</f>
        <v>3.4595644545631332</v>
      </c>
      <c r="G20" s="4">
        <f>IF('Profit &amp; Loss'!G4&gt;0,'Balance Sheet'!G17/('Profit &amp; Loss'!G4/365),0)</f>
        <v>6.6199636482480626</v>
      </c>
      <c r="H20" s="4">
        <f>IF('Profit &amp; Loss'!H4&gt;0,'Balance Sheet'!H17/('Profit &amp; Loss'!H4/365),0)</f>
        <v>10.705614678043821</v>
      </c>
      <c r="I20" s="4">
        <f>IF('Profit &amp; Loss'!I4&gt;0,'Balance Sheet'!I17/('Profit &amp; Loss'!I4/365),0)</f>
        <v>9.3237862981904396</v>
      </c>
      <c r="J20" s="4">
        <f>IF('Profit &amp; Loss'!J4&gt;0,'Balance Sheet'!J17/('Profit &amp; Loss'!J4/365),0)</f>
        <v>8.2505754188795457</v>
      </c>
      <c r="K20" s="4">
        <f>IF('Profit &amp; Loss'!K4&gt;0,'Balance Sheet'!K17/('Profit &amp; Loss'!K4/365),0)</f>
        <v>10.631419131070702</v>
      </c>
    </row>
    <row r="21" spans="1:11" x14ac:dyDescent="0.25">
      <c r="A21" t="s">
        <v>47</v>
      </c>
      <c r="B21" s="4">
        <f>IF('Balance Sheet'!B18&gt;0,'Profit &amp; Loss'!B4/'Balance Sheet'!B18,0)</f>
        <v>20.018353383702454</v>
      </c>
      <c r="C21" s="4">
        <f>IF('Balance Sheet'!C18&gt;0,'Profit &amp; Loss'!C4/'Balance Sheet'!C18,0)</f>
        <v>20.938850848466807</v>
      </c>
      <c r="D21" s="4">
        <f>IF('Balance Sheet'!D18&gt;0,'Profit &amp; Loss'!D4/'Balance Sheet'!D18,0)</f>
        <v>22.716805189539834</v>
      </c>
      <c r="E21" s="4">
        <f>IF('Balance Sheet'!E18&gt;0,'Profit &amp; Loss'!E4/'Balance Sheet'!E18,0)</f>
        <v>15.467902365088888</v>
      </c>
      <c r="F21" s="4">
        <f>IF('Balance Sheet'!F18&gt;0,'Profit &amp; Loss'!F4/'Balance Sheet'!F18,0)</f>
        <v>15.992976325674849</v>
      </c>
      <c r="G21" s="4">
        <f>IF('Balance Sheet'!G18&gt;0,'Profit &amp; Loss'!G4/'Balance Sheet'!G18,0)</f>
        <v>9.9706723073404984</v>
      </c>
      <c r="H21" s="4">
        <f>IF('Balance Sheet'!H18&gt;0,'Profit &amp; Loss'!H4/'Balance Sheet'!H18,0)</f>
        <v>9.093809607912398</v>
      </c>
      <c r="I21" s="4">
        <f>IF('Balance Sheet'!I18&gt;0,'Profit &amp; Loss'!I4/'Balance Sheet'!I18,0)</f>
        <v>11.296721003723288</v>
      </c>
      <c r="J21" s="4">
        <f>IF('Balance Sheet'!J18&gt;0,'Profit &amp; Loss'!J4/'Balance Sheet'!J18,0)</f>
        <v>11.730498567010015</v>
      </c>
      <c r="K21" s="4">
        <f>IF('Balance Sheet'!K18&gt;0,'Profit &amp; Loss'!K4/'Balance Sheet'!K18,0)</f>
        <v>12.067370103916865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0.36627622095267298</v>
      </c>
      <c r="C23" s="10">
        <f>IF(SUM('Balance Sheet'!C4:C5)&gt;0,'Profit &amp; Loss'!C12/SUM('Balance Sheet'!C4:C5),"")</f>
        <v>0.31189114455002459</v>
      </c>
      <c r="D23" s="10">
        <f>IF(SUM('Balance Sheet'!D4:D5)&gt;0,'Profit &amp; Loss'!D12/SUM('Balance Sheet'!D4:D5),"")</f>
        <v>0.27875540357350637</v>
      </c>
      <c r="E23" s="10">
        <f>IF(SUM('Balance Sheet'!E4:E5)&gt;0,'Profit &amp; Loss'!E12/SUM('Balance Sheet'!E4:E5),"")</f>
        <v>0.24697826593950697</v>
      </c>
      <c r="F23" s="10">
        <f>IF(SUM('Balance Sheet'!F4:F5)&gt;0,'Profit &amp; Loss'!F12/SUM('Balance Sheet'!F4:F5),"")</f>
        <v>0.18309315865355236</v>
      </c>
      <c r="G23" s="10">
        <f>IF(SUM('Balance Sheet'!G4:G5)&gt;0,'Profit &amp; Loss'!G12/SUM('Balance Sheet'!G4:G5),"")</f>
        <v>0.11775490292076993</v>
      </c>
      <c r="H23" s="10">
        <f>IF(SUM('Balance Sheet'!H4:H5)&gt;0,'Profit &amp; Loss'!H12/SUM('Balance Sheet'!H4:H5),"")</f>
        <v>0.13297906091370557</v>
      </c>
      <c r="I23" s="10">
        <f>IF(SUM('Balance Sheet'!I4:I5)&gt;0,'Profit &amp; Loss'!I12/SUM('Balance Sheet'!I4:I5),"")</f>
        <v>0.19438863049923016</v>
      </c>
      <c r="J23" s="10">
        <f>IF(SUM('Balance Sheet'!J4:J5)&gt;0,'Profit &amp; Loss'!J12/SUM('Balance Sheet'!J4:J5),"")</f>
        <v>0.22171751120637631</v>
      </c>
      <c r="K23" s="10">
        <f>IF(SUM('Balance Sheet'!K4:K5)&gt;0,'Profit &amp; Loss'!K12/SUM('Balance Sheet'!K4:K5),"")</f>
        <v>0.22231081272078168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0.53368051525417792</v>
      </c>
      <c r="D24" s="10">
        <f>IF((C4+C5+C6+D4+D5+D6)&gt;0,('Profit &amp; Loss'!D10+'Profit &amp; Loss'!D9)*2/(C4+C5+C6+D4+D5+D6),"")</f>
        <v>0.49391232513809724</v>
      </c>
      <c r="E24" s="10">
        <f>IF((D4+D5+D6+E4+E5+E6)&gt;0,('Profit &amp; Loss'!E10+'Profit &amp; Loss'!E9)*2/(D4+D5+D6+E4+E5+E6),"")</f>
        <v>0.4058136886074814</v>
      </c>
      <c r="F24" s="10">
        <f>IF((E4+E5+E6+F4+F5+F6)&gt;0,('Profit &amp; Loss'!F10+'Profit &amp; Loss'!F9)*2/(E4+E5+E6+F4+F5+F6),"")</f>
        <v>0.24553603983572109</v>
      </c>
      <c r="G24" s="10">
        <f>IF((F4+F5+F6+G4+G5+G6)&gt;0,('Profit &amp; Loss'!G10+'Profit &amp; Loss'!G9)*2/(F4+F5+F6+G4+G5+G6),"")</f>
        <v>0.16583528500141181</v>
      </c>
      <c r="H24" s="10">
        <f>IF((G4+G5+G6+H4+H5+H6)&gt;0,('Profit &amp; Loss'!H10+'Profit &amp; Loss'!H9)*2/(G4+G5+G6+H4+H5+H6),"")</f>
        <v>0.18227434903483525</v>
      </c>
      <c r="I24" s="10">
        <f>IF((H4+H5+H6+I4+I5+I6)&gt;0,('Profit &amp; Loss'!I10+'Profit &amp; Loss'!I9)*2/(H4+H5+H6+I4+I5+I6),"")</f>
        <v>0.2734582630811877</v>
      </c>
      <c r="J24" s="10">
        <f>IF((I4+I5+I6+J4+J5+J6)&gt;0,('Profit &amp; Loss'!J10+'Profit &amp; Loss'!J9)*2/(I4+I5+I6+J4+J5+J6),"")</f>
        <v>0.31134144903072164</v>
      </c>
      <c r="K24" s="10">
        <f>IF((J4+J5+J6+K4+K5+K6)&gt;0,('Profit &amp; Loss'!K10+'Profit &amp; Loss'!K9)*2/(J4+J5+J6+K4+K5+K6),"")</f>
        <v>0.29773600377328563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EICHER MOTORS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25">
      <c r="A4" s="2" t="s">
        <v>32</v>
      </c>
      <c r="B4" s="1">
        <f>'Data Sheet'!B82</f>
        <v>1463.08</v>
      </c>
      <c r="C4" s="1">
        <f>'Data Sheet'!C82</f>
        <v>1707.97</v>
      </c>
      <c r="D4" s="1">
        <f>'Data Sheet'!D82</f>
        <v>2482.25</v>
      </c>
      <c r="E4" s="1">
        <f>'Data Sheet'!E82</f>
        <v>1575.47</v>
      </c>
      <c r="F4" s="1">
        <f>'Data Sheet'!F82</f>
        <v>1694.12</v>
      </c>
      <c r="G4" s="1">
        <f>'Data Sheet'!G82</f>
        <v>1690.97</v>
      </c>
      <c r="H4" s="1">
        <f>'Data Sheet'!H82</f>
        <v>1527.04</v>
      </c>
      <c r="I4" s="1">
        <f>'Data Sheet'!I82</f>
        <v>2822.66</v>
      </c>
      <c r="J4" s="1">
        <f>'Data Sheet'!J82</f>
        <v>3723.71</v>
      </c>
      <c r="K4" s="1">
        <f>'Data Sheet'!K82</f>
        <v>3979.92</v>
      </c>
    </row>
    <row r="5" spans="1:11" x14ac:dyDescent="0.25">
      <c r="A5" t="s">
        <v>33</v>
      </c>
      <c r="B5" s="6">
        <f>'Data Sheet'!B83</f>
        <v>-1001.4</v>
      </c>
      <c r="C5" s="6">
        <f>'Data Sheet'!C83</f>
        <v>-1743.58</v>
      </c>
      <c r="D5" s="6">
        <f>'Data Sheet'!D83</f>
        <v>-2145.02</v>
      </c>
      <c r="E5" s="6">
        <f>'Data Sheet'!E83</f>
        <v>-659.88</v>
      </c>
      <c r="F5" s="6">
        <f>'Data Sheet'!F83</f>
        <v>-1508.41</v>
      </c>
      <c r="G5" s="6">
        <f>'Data Sheet'!G83</f>
        <v>-1625.3</v>
      </c>
      <c r="H5" s="6">
        <f>'Data Sheet'!H83</f>
        <v>-983.25</v>
      </c>
      <c r="I5" s="6">
        <f>'Data Sheet'!I83</f>
        <v>-2396.8000000000002</v>
      </c>
      <c r="J5" s="6">
        <f>'Data Sheet'!J83</f>
        <v>-2833.93</v>
      </c>
      <c r="K5" s="6">
        <f>'Data Sheet'!K83</f>
        <v>-2460.6799999999998</v>
      </c>
    </row>
    <row r="6" spans="1:11" x14ac:dyDescent="0.25">
      <c r="A6" t="s">
        <v>34</v>
      </c>
      <c r="B6" s="6">
        <f>'Data Sheet'!B84</f>
        <v>-465.52</v>
      </c>
      <c r="C6" s="6">
        <f>'Data Sheet'!C84</f>
        <v>25.29</v>
      </c>
      <c r="D6" s="6">
        <f>'Data Sheet'!D84</f>
        <v>-262.01</v>
      </c>
      <c r="E6" s="6">
        <f>'Data Sheet'!E84</f>
        <v>-292.3</v>
      </c>
      <c r="F6" s="6">
        <f>'Data Sheet'!F84</f>
        <v>-858.25</v>
      </c>
      <c r="G6" s="6">
        <f>'Data Sheet'!G84</f>
        <v>-14.76</v>
      </c>
      <c r="H6" s="6">
        <f>'Data Sheet'!H84</f>
        <v>-593.36</v>
      </c>
      <c r="I6" s="6">
        <f>'Data Sheet'!I84</f>
        <v>-417.44</v>
      </c>
      <c r="J6" s="6">
        <f>'Data Sheet'!J84</f>
        <v>-844.36</v>
      </c>
      <c r="K6" s="6">
        <f>'Data Sheet'!K84</f>
        <v>-1398.67</v>
      </c>
    </row>
    <row r="7" spans="1:11" s="2" customFormat="1" x14ac:dyDescent="0.25">
      <c r="A7" s="2" t="s">
        <v>35</v>
      </c>
      <c r="B7" s="1">
        <f>'Data Sheet'!B85</f>
        <v>-3.84</v>
      </c>
      <c r="C7" s="1">
        <f>'Data Sheet'!C85</f>
        <v>-10.32</v>
      </c>
      <c r="D7" s="1">
        <f>'Data Sheet'!D85</f>
        <v>75.22</v>
      </c>
      <c r="E7" s="1">
        <f>'Data Sheet'!E85</f>
        <v>623.29</v>
      </c>
      <c r="F7" s="1">
        <f>'Data Sheet'!F85</f>
        <v>-672.54</v>
      </c>
      <c r="G7" s="1">
        <f>'Data Sheet'!G85</f>
        <v>50.91</v>
      </c>
      <c r="H7" s="1">
        <f>'Data Sheet'!H85</f>
        <v>-49.57</v>
      </c>
      <c r="I7" s="1">
        <f>'Data Sheet'!I85</f>
        <v>8.42</v>
      </c>
      <c r="J7" s="1">
        <f>'Data Sheet'!J85</f>
        <v>45.42</v>
      </c>
      <c r="K7" s="1">
        <f>'Data Sheet'!K85</f>
        <v>120.57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K93"/>
  <sheetViews>
    <sheetView tabSelected="1"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E12" sqref="E12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09" t="str">
        <f>IF(B2&lt;&gt;B3, "A NEW VERSION OF THE WORKSHEET IS AVAILABLE", "")</f>
        <v/>
      </c>
      <c r="F1" s="209"/>
      <c r="G1" s="209"/>
      <c r="H1" s="209"/>
      <c r="I1" s="209"/>
      <c r="J1" s="209"/>
      <c r="K1" s="209"/>
    </row>
    <row r="2" spans="1:11" x14ac:dyDescent="0.25">
      <c r="A2" s="1" t="s">
        <v>61</v>
      </c>
      <c r="B2" s="4">
        <v>2.1</v>
      </c>
      <c r="E2" s="210" t="s">
        <v>36</v>
      </c>
      <c r="F2" s="210"/>
      <c r="G2" s="210"/>
      <c r="H2" s="210"/>
      <c r="I2" s="210"/>
      <c r="J2" s="210"/>
      <c r="K2" s="210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27.431004066750805</v>
      </c>
    </row>
    <row r="7" spans="1:11" x14ac:dyDescent="0.25">
      <c r="A7" s="4" t="s">
        <v>31</v>
      </c>
      <c r="B7">
        <v>1</v>
      </c>
    </row>
    <row r="8" spans="1:11" x14ac:dyDescent="0.25">
      <c r="A8" s="4" t="s">
        <v>43</v>
      </c>
      <c r="B8">
        <v>7131</v>
      </c>
    </row>
    <row r="9" spans="1:11" x14ac:dyDescent="0.25">
      <c r="A9" s="4" t="s">
        <v>79</v>
      </c>
      <c r="B9">
        <v>195610.49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25">
      <c r="A17" s="6" t="s">
        <v>6</v>
      </c>
      <c r="B17">
        <v>6173.46</v>
      </c>
      <c r="C17">
        <v>7033.36</v>
      </c>
      <c r="D17">
        <v>8964.9599999999991</v>
      </c>
      <c r="E17">
        <v>9797.06</v>
      </c>
      <c r="F17">
        <v>9153.58</v>
      </c>
      <c r="G17">
        <v>8720.35</v>
      </c>
      <c r="H17">
        <v>10297.83</v>
      </c>
      <c r="I17">
        <v>14442.18</v>
      </c>
      <c r="J17">
        <v>16535.78</v>
      </c>
      <c r="K17">
        <v>18870.349999999999</v>
      </c>
    </row>
    <row r="18" spans="1:11" s="6" customFormat="1" x14ac:dyDescent="0.25">
      <c r="A18" s="4" t="s">
        <v>80</v>
      </c>
      <c r="B18">
        <v>3497.73</v>
      </c>
      <c r="C18">
        <v>3725.72</v>
      </c>
      <c r="D18">
        <v>4679.07</v>
      </c>
      <c r="E18">
        <v>5269.64</v>
      </c>
      <c r="F18">
        <v>4914.58</v>
      </c>
      <c r="G18">
        <v>5319.85</v>
      </c>
      <c r="H18">
        <v>6107.28</v>
      </c>
      <c r="I18">
        <v>8281.0400000000009</v>
      </c>
      <c r="J18">
        <v>9187.35</v>
      </c>
      <c r="K18">
        <v>10470.09</v>
      </c>
    </row>
    <row r="19" spans="1:11" s="6" customFormat="1" x14ac:dyDescent="0.25">
      <c r="A19" s="4" t="s">
        <v>81</v>
      </c>
      <c r="B19">
        <v>62.05</v>
      </c>
      <c r="C19">
        <v>19.61</v>
      </c>
      <c r="D19">
        <v>33.869999999999997</v>
      </c>
      <c r="E19">
        <v>210.16</v>
      </c>
      <c r="F19">
        <v>-84.09</v>
      </c>
      <c r="G19">
        <v>205.9</v>
      </c>
      <c r="H19">
        <v>148.59</v>
      </c>
      <c r="I19">
        <v>63.25</v>
      </c>
      <c r="J19">
        <v>197.03</v>
      </c>
      <c r="K19">
        <v>163.51</v>
      </c>
    </row>
    <row r="20" spans="1:11" s="6" customFormat="1" x14ac:dyDescent="0.25">
      <c r="A20" s="4" t="s">
        <v>82</v>
      </c>
      <c r="B20">
        <v>46.18</v>
      </c>
      <c r="C20">
        <v>46.02</v>
      </c>
      <c r="D20">
        <v>52.41</v>
      </c>
      <c r="E20">
        <v>66.959999999999994</v>
      </c>
      <c r="F20">
        <v>62.86</v>
      </c>
      <c r="G20">
        <v>52.98</v>
      </c>
      <c r="H20">
        <v>55.78</v>
      </c>
      <c r="I20">
        <v>72.97</v>
      </c>
      <c r="J20">
        <v>80.61</v>
      </c>
      <c r="K20">
        <v>89.53</v>
      </c>
    </row>
    <row r="21" spans="1:11" s="6" customFormat="1" x14ac:dyDescent="0.25">
      <c r="A21" s="4" t="s">
        <v>83</v>
      </c>
      <c r="B21">
        <v>173.76</v>
      </c>
      <c r="C21">
        <v>173.09</v>
      </c>
      <c r="D21">
        <v>210.76</v>
      </c>
      <c r="E21">
        <v>263.49</v>
      </c>
      <c r="F21">
        <v>256.58</v>
      </c>
      <c r="G21">
        <v>250.85</v>
      </c>
      <c r="H21">
        <v>332.41</v>
      </c>
      <c r="I21">
        <v>397.21</v>
      </c>
      <c r="J21">
        <v>394.36</v>
      </c>
      <c r="K21">
        <v>453.77</v>
      </c>
    </row>
    <row r="22" spans="1:11" s="6" customFormat="1" x14ac:dyDescent="0.25">
      <c r="A22" s="4" t="s">
        <v>84</v>
      </c>
      <c r="B22">
        <v>350.21</v>
      </c>
      <c r="C22">
        <v>426.28</v>
      </c>
      <c r="D22">
        <v>573.67999999999995</v>
      </c>
      <c r="E22">
        <v>702.44</v>
      </c>
      <c r="F22">
        <v>795.78</v>
      </c>
      <c r="G22">
        <v>843.23</v>
      </c>
      <c r="H22">
        <v>821.02</v>
      </c>
      <c r="I22">
        <v>1001.93</v>
      </c>
      <c r="J22">
        <v>1235.69</v>
      </c>
      <c r="K22">
        <v>1391.23</v>
      </c>
    </row>
    <row r="23" spans="1:11" s="6" customFormat="1" x14ac:dyDescent="0.25">
      <c r="A23" s="4" t="s">
        <v>85</v>
      </c>
      <c r="B23">
        <v>397.4</v>
      </c>
      <c r="C23">
        <v>412.25</v>
      </c>
      <c r="D23">
        <v>565.66</v>
      </c>
      <c r="E23">
        <v>654.82000000000005</v>
      </c>
      <c r="F23">
        <v>667.16</v>
      </c>
      <c r="G23">
        <v>522.52</v>
      </c>
      <c r="H23">
        <v>815.51</v>
      </c>
      <c r="I23">
        <v>1164.58</v>
      </c>
      <c r="J23">
        <v>1293.02</v>
      </c>
      <c r="K23">
        <v>1669.63</v>
      </c>
    </row>
    <row r="24" spans="1:11" s="6" customFormat="1" x14ac:dyDescent="0.25">
      <c r="A24" s="4" t="s">
        <v>86</v>
      </c>
      <c r="B24">
        <v>80.5</v>
      </c>
      <c r="C24">
        <v>95.3</v>
      </c>
      <c r="D24">
        <v>108.62</v>
      </c>
      <c r="E24">
        <v>145.63</v>
      </c>
      <c r="F24">
        <v>189.64</v>
      </c>
      <c r="G24">
        <v>153.59</v>
      </c>
      <c r="H24">
        <v>136.85</v>
      </c>
      <c r="I24">
        <v>141.97999999999999</v>
      </c>
      <c r="J24">
        <v>212.41</v>
      </c>
      <c r="K24">
        <v>237.04</v>
      </c>
    </row>
    <row r="25" spans="1:11" s="6" customFormat="1" x14ac:dyDescent="0.25">
      <c r="A25" s="6" t="s">
        <v>9</v>
      </c>
      <c r="B25">
        <v>325.91000000000003</v>
      </c>
      <c r="C25">
        <v>416.44</v>
      </c>
      <c r="D25">
        <v>535.66</v>
      </c>
      <c r="E25">
        <v>700.66</v>
      </c>
      <c r="F25">
        <v>572.41999999999996</v>
      </c>
      <c r="G25">
        <v>482.34</v>
      </c>
      <c r="H25">
        <v>495.65</v>
      </c>
      <c r="I25">
        <v>908.14</v>
      </c>
      <c r="J25">
        <v>1521.13</v>
      </c>
      <c r="K25">
        <v>1994.17</v>
      </c>
    </row>
    <row r="26" spans="1:11" s="6" customFormat="1" x14ac:dyDescent="0.25">
      <c r="A26" s="6" t="s">
        <v>10</v>
      </c>
      <c r="B26">
        <v>136.6</v>
      </c>
      <c r="C26">
        <v>153.81</v>
      </c>
      <c r="D26">
        <v>223.3</v>
      </c>
      <c r="E26">
        <v>300.27999999999997</v>
      </c>
      <c r="F26">
        <v>381.54</v>
      </c>
      <c r="G26">
        <v>450.73</v>
      </c>
      <c r="H26">
        <v>451.93</v>
      </c>
      <c r="I26">
        <v>526.21</v>
      </c>
      <c r="J26">
        <v>597.6</v>
      </c>
      <c r="K26">
        <v>729.33</v>
      </c>
    </row>
    <row r="27" spans="1:11" s="6" customFormat="1" x14ac:dyDescent="0.25">
      <c r="A27" s="6" t="s">
        <v>11</v>
      </c>
      <c r="B27">
        <v>2.12</v>
      </c>
      <c r="C27">
        <v>3.56</v>
      </c>
      <c r="D27">
        <v>5.34</v>
      </c>
      <c r="E27">
        <v>7.33</v>
      </c>
      <c r="F27">
        <v>18.88</v>
      </c>
      <c r="G27">
        <v>16.45</v>
      </c>
      <c r="H27">
        <v>18.78</v>
      </c>
      <c r="I27">
        <v>28.02</v>
      </c>
      <c r="J27">
        <v>50.88</v>
      </c>
      <c r="K27">
        <v>54.34</v>
      </c>
    </row>
    <row r="28" spans="1:11" s="6" customFormat="1" x14ac:dyDescent="0.25">
      <c r="A28" s="6" t="s">
        <v>12</v>
      </c>
      <c r="B28">
        <v>1876.92</v>
      </c>
      <c r="C28">
        <v>2433.38</v>
      </c>
      <c r="D28">
        <v>3115.65</v>
      </c>
      <c r="E28">
        <v>3297.29</v>
      </c>
      <c r="F28">
        <v>2354.89</v>
      </c>
      <c r="G28">
        <v>1798.39</v>
      </c>
      <c r="H28">
        <v>2202.5100000000002</v>
      </c>
      <c r="I28">
        <v>3799.63</v>
      </c>
      <c r="J28">
        <v>5202.0200000000004</v>
      </c>
      <c r="K28">
        <v>5933.07</v>
      </c>
    </row>
    <row r="29" spans="1:11" s="6" customFormat="1" x14ac:dyDescent="0.25">
      <c r="A29" s="6" t="s">
        <v>13</v>
      </c>
      <c r="B29">
        <v>538.88</v>
      </c>
      <c r="C29">
        <v>720.3</v>
      </c>
      <c r="D29">
        <v>935.93</v>
      </c>
      <c r="E29">
        <v>1077.04</v>
      </c>
      <c r="F29">
        <v>527.45000000000005</v>
      </c>
      <c r="G29">
        <v>451.5</v>
      </c>
      <c r="H29">
        <v>525.91</v>
      </c>
      <c r="I29">
        <v>885.69</v>
      </c>
      <c r="J29">
        <v>1201.01</v>
      </c>
      <c r="K29">
        <v>1198.6300000000001</v>
      </c>
    </row>
    <row r="30" spans="1:11" s="6" customFormat="1" x14ac:dyDescent="0.25">
      <c r="A30" s="6" t="s">
        <v>14</v>
      </c>
      <c r="B30">
        <v>1338.04</v>
      </c>
      <c r="C30">
        <v>1667.08</v>
      </c>
      <c r="D30">
        <v>1959.67</v>
      </c>
      <c r="E30">
        <v>2202.73</v>
      </c>
      <c r="F30">
        <v>1827.44</v>
      </c>
      <c r="G30">
        <v>1346.89</v>
      </c>
      <c r="H30">
        <v>1676.6</v>
      </c>
      <c r="I30">
        <v>2913.94</v>
      </c>
      <c r="J30">
        <v>4001.01</v>
      </c>
      <c r="K30">
        <v>4734.4399999999996</v>
      </c>
    </row>
    <row r="31" spans="1:11" s="6" customFormat="1" x14ac:dyDescent="0.25">
      <c r="A31" s="6" t="s">
        <v>70</v>
      </c>
      <c r="B31">
        <v>271.60000000000002</v>
      </c>
      <c r="C31">
        <v>272.10000000000002</v>
      </c>
      <c r="D31">
        <v>299.86</v>
      </c>
      <c r="E31">
        <v>341</v>
      </c>
      <c r="F31">
        <v>341.25</v>
      </c>
      <c r="G31">
        <v>464.61</v>
      </c>
      <c r="H31">
        <v>574.14</v>
      </c>
      <c r="I31">
        <v>1011.95</v>
      </c>
      <c r="J31">
        <v>1396.38</v>
      </c>
      <c r="K31">
        <v>1919.4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25">
      <c r="A42" s="6" t="s">
        <v>6</v>
      </c>
      <c r="B42">
        <v>4114.53</v>
      </c>
      <c r="C42">
        <v>4178.84</v>
      </c>
      <c r="D42">
        <v>4256.04</v>
      </c>
      <c r="E42">
        <v>4393.05</v>
      </c>
      <c r="F42">
        <v>4263.07</v>
      </c>
      <c r="G42">
        <v>4973.12</v>
      </c>
      <c r="H42">
        <v>5241.1099999999997</v>
      </c>
      <c r="I42">
        <v>5041.84</v>
      </c>
      <c r="J42">
        <v>6171.59</v>
      </c>
      <c r="K42">
        <v>6114.04</v>
      </c>
    </row>
    <row r="43" spans="1:11" s="6" customFormat="1" x14ac:dyDescent="0.25">
      <c r="A43" s="6" t="s">
        <v>7</v>
      </c>
      <c r="B43">
        <v>3027.37</v>
      </c>
      <c r="C43">
        <v>3088.57</v>
      </c>
      <c r="D43">
        <v>3127.4</v>
      </c>
      <c r="E43">
        <v>3227.62</v>
      </c>
      <c r="F43">
        <v>3175.35</v>
      </c>
      <c r="G43">
        <v>3771.93</v>
      </c>
      <c r="H43">
        <v>3983.42</v>
      </c>
      <c r="I43">
        <v>3839.06</v>
      </c>
      <c r="J43">
        <v>4659.6899999999996</v>
      </c>
      <c r="K43">
        <v>4557.32</v>
      </c>
    </row>
    <row r="44" spans="1:11" s="6" customFormat="1" x14ac:dyDescent="0.25">
      <c r="A44" s="6" t="s">
        <v>9</v>
      </c>
      <c r="B44">
        <v>375.4</v>
      </c>
      <c r="C44">
        <v>367.58</v>
      </c>
      <c r="D44">
        <v>436.96</v>
      </c>
      <c r="E44">
        <v>456.51</v>
      </c>
      <c r="F44">
        <v>467.53</v>
      </c>
      <c r="G44">
        <v>452.29</v>
      </c>
      <c r="H44">
        <v>628.38</v>
      </c>
      <c r="I44">
        <v>603.16999999999996</v>
      </c>
      <c r="J44">
        <v>485.83</v>
      </c>
      <c r="K44">
        <v>464.85</v>
      </c>
    </row>
    <row r="45" spans="1:11" s="6" customFormat="1" x14ac:dyDescent="0.25">
      <c r="A45" s="6" t="s">
        <v>10</v>
      </c>
      <c r="B45">
        <v>142.54</v>
      </c>
      <c r="C45">
        <v>147.54</v>
      </c>
      <c r="D45">
        <v>165.25</v>
      </c>
      <c r="E45">
        <v>168.63</v>
      </c>
      <c r="F45">
        <v>180.06</v>
      </c>
      <c r="G45">
        <v>179.27</v>
      </c>
      <c r="H45">
        <v>201.37</v>
      </c>
      <c r="I45">
        <v>198.06</v>
      </c>
      <c r="J45">
        <v>199.56</v>
      </c>
      <c r="K45">
        <v>211.1</v>
      </c>
    </row>
    <row r="46" spans="1:11" s="6" customFormat="1" x14ac:dyDescent="0.25">
      <c r="A46" s="6" t="s">
        <v>11</v>
      </c>
      <c r="B46">
        <v>12.68</v>
      </c>
      <c r="C46">
        <v>12.43</v>
      </c>
      <c r="D46">
        <v>15.34</v>
      </c>
      <c r="E46">
        <v>12.27</v>
      </c>
      <c r="F46">
        <v>13.14</v>
      </c>
      <c r="G46">
        <v>13.39</v>
      </c>
      <c r="H46">
        <v>15.54</v>
      </c>
      <c r="I46">
        <v>14.9</v>
      </c>
      <c r="J46">
        <v>19.16</v>
      </c>
      <c r="K46">
        <v>17.27</v>
      </c>
    </row>
    <row r="47" spans="1:11" s="6" customFormat="1" x14ac:dyDescent="0.25">
      <c r="A47" s="6" t="s">
        <v>12</v>
      </c>
      <c r="B47">
        <v>1307.3399999999999</v>
      </c>
      <c r="C47">
        <v>1297.8800000000001</v>
      </c>
      <c r="D47">
        <v>1385.01</v>
      </c>
      <c r="E47">
        <v>1441.04</v>
      </c>
      <c r="F47">
        <v>1362.05</v>
      </c>
      <c r="G47">
        <v>1460.82</v>
      </c>
      <c r="H47">
        <v>1669.16</v>
      </c>
      <c r="I47">
        <v>1592.99</v>
      </c>
      <c r="J47">
        <v>1779.01</v>
      </c>
      <c r="K47">
        <v>1793.2</v>
      </c>
    </row>
    <row r="48" spans="1:11" s="6" customFormat="1" x14ac:dyDescent="0.25">
      <c r="A48" s="6" t="s">
        <v>13</v>
      </c>
      <c r="B48">
        <v>291.08999999999997</v>
      </c>
      <c r="C48">
        <v>301.91000000000003</v>
      </c>
      <c r="D48">
        <v>314.56</v>
      </c>
      <c r="E48">
        <v>339.58</v>
      </c>
      <c r="F48">
        <v>261.72000000000003</v>
      </c>
      <c r="G48">
        <v>290.32</v>
      </c>
      <c r="H48">
        <v>307.01</v>
      </c>
      <c r="I48">
        <v>387.77</v>
      </c>
      <c r="J48">
        <v>409.56</v>
      </c>
      <c r="K48">
        <v>372.59</v>
      </c>
    </row>
    <row r="49" spans="1:11" s="6" customFormat="1" x14ac:dyDescent="0.25">
      <c r="A49" s="6" t="s">
        <v>14</v>
      </c>
      <c r="B49">
        <v>1016.25</v>
      </c>
      <c r="C49">
        <v>995.97</v>
      </c>
      <c r="D49">
        <v>1070.45</v>
      </c>
      <c r="E49">
        <v>1101.46</v>
      </c>
      <c r="F49">
        <v>1100.33</v>
      </c>
      <c r="G49">
        <v>1170.5</v>
      </c>
      <c r="H49">
        <v>1362.15</v>
      </c>
      <c r="I49">
        <v>1205.22</v>
      </c>
      <c r="J49">
        <v>1369.45</v>
      </c>
      <c r="K49">
        <v>1420.61</v>
      </c>
    </row>
    <row r="50" spans="1:11" x14ac:dyDescent="0.25">
      <c r="A50" s="6" t="s">
        <v>8</v>
      </c>
      <c r="B50">
        <v>1087.1600000000001</v>
      </c>
      <c r="C50">
        <v>1090.27</v>
      </c>
      <c r="D50">
        <v>1128.6400000000001</v>
      </c>
      <c r="E50">
        <v>1165.43</v>
      </c>
      <c r="F50">
        <v>1087.72</v>
      </c>
      <c r="G50">
        <v>1201.19</v>
      </c>
      <c r="H50">
        <v>1257.69</v>
      </c>
      <c r="I50">
        <v>1202.78</v>
      </c>
      <c r="J50">
        <v>1511.9</v>
      </c>
      <c r="K50">
        <v>1556.72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25">
      <c r="A57" s="6" t="s">
        <v>24</v>
      </c>
      <c r="B57">
        <v>27.16</v>
      </c>
      <c r="C57">
        <v>27.21</v>
      </c>
      <c r="D57">
        <v>27.26</v>
      </c>
      <c r="E57">
        <v>27.28</v>
      </c>
      <c r="F57">
        <v>27.3</v>
      </c>
      <c r="G57">
        <v>27.33</v>
      </c>
      <c r="H57">
        <v>27.34</v>
      </c>
      <c r="I57">
        <v>27.35</v>
      </c>
      <c r="J57">
        <v>27.38</v>
      </c>
      <c r="K57">
        <v>27.42</v>
      </c>
    </row>
    <row r="58" spans="1:11" x14ac:dyDescent="0.25">
      <c r="A58" s="6" t="s">
        <v>25</v>
      </c>
      <c r="B58">
        <v>3625.93</v>
      </c>
      <c r="C58">
        <v>5317.86</v>
      </c>
      <c r="D58">
        <v>7002.81</v>
      </c>
      <c r="E58">
        <v>8891.44</v>
      </c>
      <c r="F58">
        <v>9953.6299999999992</v>
      </c>
      <c r="G58">
        <v>11410.75</v>
      </c>
      <c r="H58">
        <v>12580.66</v>
      </c>
      <c r="I58">
        <v>14962.93</v>
      </c>
      <c r="J58">
        <v>18018.150000000001</v>
      </c>
      <c r="K58">
        <v>21269.07</v>
      </c>
    </row>
    <row r="59" spans="1:11" x14ac:dyDescent="0.25">
      <c r="A59" s="6" t="s">
        <v>71</v>
      </c>
      <c r="B59">
        <v>22.57</v>
      </c>
      <c r="C59">
        <v>111.85</v>
      </c>
      <c r="D59">
        <v>150.84</v>
      </c>
      <c r="E59">
        <v>186.76</v>
      </c>
      <c r="F59">
        <v>249</v>
      </c>
      <c r="G59">
        <v>219.25</v>
      </c>
      <c r="H59">
        <v>107.71</v>
      </c>
      <c r="I59">
        <v>288.41000000000003</v>
      </c>
      <c r="J59">
        <v>419.44</v>
      </c>
      <c r="K59">
        <v>458.13</v>
      </c>
    </row>
    <row r="60" spans="1:11" x14ac:dyDescent="0.25">
      <c r="A60" s="6" t="s">
        <v>72</v>
      </c>
      <c r="B60">
        <v>1263.3499999999999</v>
      </c>
      <c r="C60">
        <v>1552.16</v>
      </c>
      <c r="D60">
        <v>2341.3200000000002</v>
      </c>
      <c r="E60">
        <v>2281.35</v>
      </c>
      <c r="F60">
        <v>2219.79</v>
      </c>
      <c r="G60">
        <v>2901.28</v>
      </c>
      <c r="H60">
        <v>3424.12</v>
      </c>
      <c r="I60">
        <v>3918.95</v>
      </c>
      <c r="J60">
        <v>4650.16</v>
      </c>
      <c r="K60">
        <v>5419.79</v>
      </c>
    </row>
    <row r="61" spans="1:11" s="1" customFormat="1" x14ac:dyDescent="0.25">
      <c r="A61" s="1" t="s">
        <v>26</v>
      </c>
      <c r="B61">
        <v>4939.01</v>
      </c>
      <c r="C61">
        <v>7009.08</v>
      </c>
      <c r="D61">
        <v>9522.23</v>
      </c>
      <c r="E61">
        <v>11386.83</v>
      </c>
      <c r="F61">
        <v>12449.72</v>
      </c>
      <c r="G61">
        <v>14558.61</v>
      </c>
      <c r="H61">
        <v>16139.83</v>
      </c>
      <c r="I61">
        <v>19197.64</v>
      </c>
      <c r="J61">
        <v>23115.13</v>
      </c>
      <c r="K61">
        <v>27174.41</v>
      </c>
    </row>
    <row r="62" spans="1:11" x14ac:dyDescent="0.25">
      <c r="A62" s="6" t="s">
        <v>27</v>
      </c>
      <c r="B62">
        <v>789.59</v>
      </c>
      <c r="C62">
        <v>872.78</v>
      </c>
      <c r="D62">
        <v>1501.69</v>
      </c>
      <c r="E62">
        <v>1874.58</v>
      </c>
      <c r="F62">
        <v>2377.52</v>
      </c>
      <c r="G62">
        <v>2433.3000000000002</v>
      </c>
      <c r="H62">
        <v>2424.2800000000002</v>
      </c>
      <c r="I62">
        <v>2689.99</v>
      </c>
      <c r="J62">
        <v>2914.38</v>
      </c>
      <c r="K62">
        <v>3473.47</v>
      </c>
    </row>
    <row r="63" spans="1:11" x14ac:dyDescent="0.25">
      <c r="A63" s="6" t="s">
        <v>28</v>
      </c>
      <c r="B63">
        <v>94.48</v>
      </c>
      <c r="C63">
        <v>373.77</v>
      </c>
      <c r="D63">
        <v>333.21</v>
      </c>
      <c r="E63">
        <v>449.74</v>
      </c>
      <c r="F63">
        <v>312.17</v>
      </c>
      <c r="G63">
        <v>314.29000000000002</v>
      </c>
      <c r="H63">
        <v>504.78</v>
      </c>
      <c r="I63">
        <v>472.07</v>
      </c>
      <c r="J63">
        <v>555.1</v>
      </c>
      <c r="K63">
        <v>491.47</v>
      </c>
    </row>
    <row r="64" spans="1:11" x14ac:dyDescent="0.25">
      <c r="A64" s="6" t="s">
        <v>29</v>
      </c>
      <c r="B64">
        <v>3388.24</v>
      </c>
      <c r="C64">
        <v>4987.13</v>
      </c>
      <c r="D64">
        <v>5580.84</v>
      </c>
      <c r="E64">
        <v>4922.5200000000004</v>
      </c>
      <c r="F64">
        <v>5748.77</v>
      </c>
      <c r="G64">
        <v>3902.14</v>
      </c>
      <c r="H64">
        <v>7720.58</v>
      </c>
      <c r="I64">
        <v>12320.66</v>
      </c>
      <c r="J64">
        <v>13526.96</v>
      </c>
      <c r="K64">
        <v>14790.9</v>
      </c>
    </row>
    <row r="65" spans="1:11" x14ac:dyDescent="0.25">
      <c r="A65" s="6" t="s">
        <v>73</v>
      </c>
      <c r="B65">
        <v>666.7</v>
      </c>
      <c r="C65">
        <v>775.4</v>
      </c>
      <c r="D65">
        <v>2106.4899999999998</v>
      </c>
      <c r="E65">
        <v>4139.99</v>
      </c>
      <c r="F65">
        <v>4011.26</v>
      </c>
      <c r="G65">
        <v>7908.88</v>
      </c>
      <c r="H65">
        <v>5490.19</v>
      </c>
      <c r="I65">
        <v>3714.92</v>
      </c>
      <c r="J65">
        <v>6118.69</v>
      </c>
      <c r="K65">
        <v>8418.57</v>
      </c>
    </row>
    <row r="66" spans="1:11" s="1" customFormat="1" x14ac:dyDescent="0.25">
      <c r="A66" s="1" t="s">
        <v>26</v>
      </c>
      <c r="B66">
        <v>4939.01</v>
      </c>
      <c r="C66">
        <v>7009.08</v>
      </c>
      <c r="D66">
        <v>9522.23</v>
      </c>
      <c r="E66">
        <v>11386.83</v>
      </c>
      <c r="F66">
        <v>12449.72</v>
      </c>
      <c r="G66">
        <v>14558.61</v>
      </c>
      <c r="H66">
        <v>16139.83</v>
      </c>
      <c r="I66">
        <v>19197.64</v>
      </c>
      <c r="J66">
        <v>23115.13</v>
      </c>
      <c r="K66">
        <v>27174.41</v>
      </c>
    </row>
    <row r="67" spans="1:11" s="6" customFormat="1" x14ac:dyDescent="0.25">
      <c r="A67" s="6" t="s">
        <v>78</v>
      </c>
      <c r="B67">
        <v>32.64</v>
      </c>
      <c r="C67">
        <v>50.04</v>
      </c>
      <c r="D67">
        <v>68</v>
      </c>
      <c r="E67">
        <v>84.29</v>
      </c>
      <c r="F67">
        <v>86.76</v>
      </c>
      <c r="G67">
        <v>158.16</v>
      </c>
      <c r="H67">
        <v>302.04000000000002</v>
      </c>
      <c r="I67">
        <v>368.92</v>
      </c>
      <c r="J67">
        <v>373.78</v>
      </c>
      <c r="K67">
        <v>549.64</v>
      </c>
    </row>
    <row r="68" spans="1:11" x14ac:dyDescent="0.25">
      <c r="A68" s="6" t="s">
        <v>45</v>
      </c>
      <c r="B68">
        <v>308.39</v>
      </c>
      <c r="C68">
        <v>335.9</v>
      </c>
      <c r="D68">
        <v>394.64</v>
      </c>
      <c r="E68">
        <v>633.38</v>
      </c>
      <c r="F68">
        <v>572.35</v>
      </c>
      <c r="G68">
        <v>874.6</v>
      </c>
      <c r="H68">
        <v>1132.4000000000001</v>
      </c>
      <c r="I68">
        <v>1278.44</v>
      </c>
      <c r="J68">
        <v>1409.64</v>
      </c>
      <c r="K68">
        <v>1563.75</v>
      </c>
    </row>
    <row r="69" spans="1:11" x14ac:dyDescent="0.25">
      <c r="A69" s="4" t="s">
        <v>87</v>
      </c>
      <c r="B69">
        <v>49.17</v>
      </c>
      <c r="C69">
        <v>25.06</v>
      </c>
      <c r="D69">
        <v>1212</v>
      </c>
      <c r="E69">
        <v>2965.29</v>
      </c>
      <c r="F69">
        <v>2950.59</v>
      </c>
      <c r="G69">
        <v>5830.36</v>
      </c>
      <c r="H69">
        <v>2722.47</v>
      </c>
      <c r="I69">
        <v>765.58</v>
      </c>
      <c r="J69">
        <v>146.31</v>
      </c>
      <c r="K69">
        <v>263.01</v>
      </c>
    </row>
    <row r="70" spans="1:11" x14ac:dyDescent="0.25">
      <c r="A70" s="4" t="s">
        <v>74</v>
      </c>
      <c r="B70">
        <v>27161183</v>
      </c>
      <c r="C70">
        <v>27210249</v>
      </c>
      <c r="D70">
        <v>27255549</v>
      </c>
      <c r="E70">
        <v>27282570</v>
      </c>
      <c r="F70">
        <v>27304570</v>
      </c>
      <c r="G70">
        <v>273335922</v>
      </c>
      <c r="H70">
        <v>273423102</v>
      </c>
      <c r="I70">
        <v>273481570</v>
      </c>
      <c r="J70">
        <v>273805630</v>
      </c>
      <c r="K70">
        <v>274164080</v>
      </c>
    </row>
    <row r="71" spans="1:11" x14ac:dyDescent="0.25">
      <c r="A71" s="4" t="s">
        <v>75</v>
      </c>
    </row>
    <row r="72" spans="1:11" x14ac:dyDescent="0.25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25">
      <c r="A82" s="6" t="s">
        <v>32</v>
      </c>
      <c r="B82">
        <v>1463.08</v>
      </c>
      <c r="C82">
        <v>1707.97</v>
      </c>
      <c r="D82">
        <v>2482.25</v>
      </c>
      <c r="E82">
        <v>1575.47</v>
      </c>
      <c r="F82">
        <v>1694.12</v>
      </c>
      <c r="G82">
        <v>1690.97</v>
      </c>
      <c r="H82">
        <v>1527.04</v>
      </c>
      <c r="I82">
        <v>2822.66</v>
      </c>
      <c r="J82">
        <v>3723.71</v>
      </c>
      <c r="K82">
        <v>3979.92</v>
      </c>
    </row>
    <row r="83" spans="1:11" s="6" customFormat="1" x14ac:dyDescent="0.25">
      <c r="A83" s="6" t="s">
        <v>33</v>
      </c>
      <c r="B83">
        <v>-1001.4</v>
      </c>
      <c r="C83">
        <v>-1743.58</v>
      </c>
      <c r="D83">
        <v>-2145.02</v>
      </c>
      <c r="E83">
        <v>-659.88</v>
      </c>
      <c r="F83">
        <v>-1508.41</v>
      </c>
      <c r="G83">
        <v>-1625.3</v>
      </c>
      <c r="H83">
        <v>-983.25</v>
      </c>
      <c r="I83">
        <v>-2396.8000000000002</v>
      </c>
      <c r="J83">
        <v>-2833.93</v>
      </c>
      <c r="K83">
        <v>-2460.6799999999998</v>
      </c>
    </row>
    <row r="84" spans="1:11" s="6" customFormat="1" x14ac:dyDescent="0.25">
      <c r="A84" s="6" t="s">
        <v>34</v>
      </c>
      <c r="B84">
        <v>-465.52</v>
      </c>
      <c r="C84">
        <v>25.29</v>
      </c>
      <c r="D84">
        <v>-262.01</v>
      </c>
      <c r="E84">
        <v>-292.3</v>
      </c>
      <c r="F84">
        <v>-858.25</v>
      </c>
      <c r="G84">
        <v>-14.76</v>
      </c>
      <c r="H84">
        <v>-593.36</v>
      </c>
      <c r="I84">
        <v>-417.44</v>
      </c>
      <c r="J84">
        <v>-844.36</v>
      </c>
      <c r="K84">
        <v>-1398.67</v>
      </c>
    </row>
    <row r="85" spans="1:11" s="1" customFormat="1" x14ac:dyDescent="0.25">
      <c r="A85" s="6" t="s">
        <v>35</v>
      </c>
      <c r="B85">
        <v>-3.84</v>
      </c>
      <c r="C85">
        <v>-10.32</v>
      </c>
      <c r="D85">
        <v>75.22</v>
      </c>
      <c r="E85">
        <v>623.29</v>
      </c>
      <c r="F85">
        <v>-672.54</v>
      </c>
      <c r="G85">
        <v>50.91</v>
      </c>
      <c r="H85">
        <v>-49.57</v>
      </c>
      <c r="I85">
        <v>8.42</v>
      </c>
      <c r="J85">
        <v>45.42</v>
      </c>
      <c r="K85">
        <v>120.57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1918.06</v>
      </c>
      <c r="C90">
        <v>2558.75</v>
      </c>
      <c r="D90">
        <v>2837.27</v>
      </c>
      <c r="E90">
        <v>2054.77</v>
      </c>
      <c r="F90">
        <v>1309.5899999999999</v>
      </c>
      <c r="G90">
        <v>2603.9499999999998</v>
      </c>
      <c r="H90">
        <v>2457.15</v>
      </c>
      <c r="I90">
        <v>2948.85</v>
      </c>
      <c r="J90">
        <v>4019.3</v>
      </c>
      <c r="K90">
        <v>5347.7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27.16</v>
      </c>
      <c r="C93" s="24">
        <v>27.21</v>
      </c>
      <c r="D93" s="24">
        <v>27.26</v>
      </c>
      <c r="E93" s="24">
        <v>27.28</v>
      </c>
      <c r="F93" s="24">
        <v>27.31</v>
      </c>
      <c r="G93" s="24">
        <v>27.33</v>
      </c>
      <c r="H93" s="24">
        <v>27.34</v>
      </c>
      <c r="I93" s="24">
        <v>27.35</v>
      </c>
      <c r="J93" s="24">
        <v>27.38</v>
      </c>
      <c r="K93" s="24">
        <v>27.42</v>
      </c>
    </row>
  </sheetData>
  <sheetProtection algorithmName="SHA-512" hashValue="GceJOpGXJxX0psQ6281QT6j+ICJcc42rxPMdFLgA/dNHMED93NfMqW86rsZdtV5waVKFTd7XOVKzYQ8XVLJxnw==" saltValue="ksuYhRuCAdiu2syqFSXJ+A==" spinCount="100000" sheet="1" objects="1" scenarios="1"/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2D42-DF0B-4A61-8B0C-E6F9C11A17D9}">
  <sheetPr>
    <tabColor rgb="FFC00000"/>
  </sheetPr>
  <dimension ref="B1:H6"/>
  <sheetViews>
    <sheetView workbookViewId="0">
      <selection activeCell="G22" sqref="G22"/>
    </sheetView>
  </sheetViews>
  <sheetFormatPr defaultRowHeight="15" x14ac:dyDescent="0.25"/>
  <cols>
    <col min="1" max="1" width="1.85546875" style="114" customWidth="1"/>
    <col min="2" max="2" width="5.7109375" style="114" bestFit="1" customWidth="1"/>
    <col min="3" max="3" width="16.7109375" style="114" bestFit="1" customWidth="1"/>
    <col min="4" max="4" width="10" style="114" customWidth="1"/>
    <col min="5" max="5" width="14.140625" style="114" bestFit="1" customWidth="1"/>
    <col min="6" max="6" width="10.7109375" style="114" bestFit="1" customWidth="1"/>
    <col min="7" max="7" width="9.140625" style="114"/>
    <col min="8" max="8" width="12.28515625" style="114" bestFit="1" customWidth="1"/>
    <col min="9" max="16384" width="9.140625" style="114"/>
  </cols>
  <sheetData>
    <row r="1" spans="2:8" x14ac:dyDescent="0.25">
      <c r="B1" s="211" t="s">
        <v>274</v>
      </c>
      <c r="C1" s="211"/>
      <c r="D1" s="211"/>
      <c r="E1" s="211"/>
      <c r="F1" s="211"/>
      <c r="G1" s="211"/>
      <c r="H1" s="211"/>
    </row>
    <row r="2" spans="2:8" x14ac:dyDescent="0.25">
      <c r="B2" s="121" t="s">
        <v>273</v>
      </c>
      <c r="C2" s="121" t="s">
        <v>272</v>
      </c>
      <c r="D2" s="121" t="s">
        <v>271</v>
      </c>
      <c r="E2" s="121" t="s">
        <v>270</v>
      </c>
      <c r="F2" s="121" t="s">
        <v>269</v>
      </c>
      <c r="G2" s="121" t="s">
        <v>268</v>
      </c>
      <c r="H2" s="121" t="s">
        <v>267</v>
      </c>
    </row>
    <row r="3" spans="2:8" x14ac:dyDescent="0.25">
      <c r="B3" s="121">
        <v>1</v>
      </c>
      <c r="C3" s="121" t="s">
        <v>266</v>
      </c>
      <c r="D3" s="121">
        <v>9861</v>
      </c>
      <c r="E3" s="121">
        <v>275722.37</v>
      </c>
      <c r="F3" s="121">
        <v>19693.240000000002</v>
      </c>
      <c r="G3" s="121">
        <v>0.57999999999999996</v>
      </c>
      <c r="H3" s="121">
        <v>279.5</v>
      </c>
    </row>
    <row r="4" spans="2:8" x14ac:dyDescent="0.25">
      <c r="B4" s="121">
        <v>2</v>
      </c>
      <c r="C4" s="121" t="s">
        <v>265</v>
      </c>
      <c r="D4" s="121">
        <v>7128.05</v>
      </c>
      <c r="E4" s="121">
        <v>195532.53</v>
      </c>
      <c r="F4" s="121">
        <v>445.78</v>
      </c>
      <c r="G4" s="121">
        <v>0.02</v>
      </c>
      <c r="H4" s="121">
        <v>27.43</v>
      </c>
    </row>
    <row r="5" spans="2:8" x14ac:dyDescent="0.25">
      <c r="B5" s="121">
        <v>3</v>
      </c>
      <c r="C5" s="121" t="s">
        <v>264</v>
      </c>
      <c r="D5" s="121">
        <v>3780.1</v>
      </c>
      <c r="E5" s="121">
        <v>179587.67</v>
      </c>
      <c r="F5" s="121">
        <v>31589.29</v>
      </c>
      <c r="G5" s="121">
        <v>3.89</v>
      </c>
      <c r="H5" s="121">
        <v>47.51</v>
      </c>
    </row>
    <row r="6" spans="2:8" x14ac:dyDescent="0.25">
      <c r="B6" s="121">
        <v>4</v>
      </c>
      <c r="C6" s="121" t="s">
        <v>263</v>
      </c>
      <c r="D6" s="121">
        <v>5284.9</v>
      </c>
      <c r="E6" s="121">
        <v>105745.47</v>
      </c>
      <c r="F6" s="121">
        <v>718.07</v>
      </c>
      <c r="G6" s="121">
        <v>0.03</v>
      </c>
      <c r="H6" s="121">
        <v>40.020000000000003</v>
      </c>
    </row>
  </sheetData>
  <sheetProtection algorithmName="SHA-512" hashValue="tJaXfkAQGM9kxVTKJjDJci8aeSq4331R6a3ETFntsKVHf9YyfyhoskO+sSwzkQlkpA1wM4j2mTYS5ieRk/oi9w==" saltValue="o7l0UPhUmVeyZ3I7Iyypnw==" spinCount="100000" sheet="1" objects="1" scenarios="1"/>
  <mergeCells count="1">
    <mergeCell ref="B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5D72-CE49-46AB-963D-C3723F89FAE9}">
  <sheetPr>
    <tabColor rgb="FFC00000"/>
  </sheetPr>
  <dimension ref="B2:N29"/>
  <sheetViews>
    <sheetView topLeftCell="A4" workbookViewId="0">
      <selection activeCell="I24" sqref="I24"/>
    </sheetView>
  </sheetViews>
  <sheetFormatPr defaultRowHeight="15" x14ac:dyDescent="0.25"/>
  <cols>
    <col min="2" max="2" width="32.140625" customWidth="1"/>
    <col min="3" max="4" width="0.140625" customWidth="1"/>
    <col min="5" max="14" width="11.5703125" customWidth="1"/>
  </cols>
  <sheetData>
    <row r="2" spans="2:14" x14ac:dyDescent="0.25">
      <c r="B2" s="25">
        <v>41609</v>
      </c>
      <c r="C2" s="25">
        <v>41974</v>
      </c>
      <c r="D2" s="25">
        <v>42430</v>
      </c>
      <c r="E2" s="25">
        <v>42795</v>
      </c>
      <c r="F2" s="25">
        <v>43160</v>
      </c>
      <c r="G2" s="25">
        <v>43525</v>
      </c>
      <c r="H2" s="25">
        <v>43891</v>
      </c>
      <c r="I2" s="25">
        <v>44256</v>
      </c>
      <c r="J2" s="25">
        <v>44621</v>
      </c>
      <c r="K2" s="25">
        <v>44986</v>
      </c>
      <c r="L2" s="25">
        <v>45352</v>
      </c>
      <c r="M2" s="25">
        <v>45717</v>
      </c>
    </row>
    <row r="3" spans="2:14" x14ac:dyDescent="0.25">
      <c r="B3" t="s">
        <v>127</v>
      </c>
      <c r="C3">
        <v>716</v>
      </c>
      <c r="D3" s="36">
        <v>1047</v>
      </c>
      <c r="E3" s="36">
        <v>1463</v>
      </c>
      <c r="F3" s="36">
        <v>1708</v>
      </c>
      <c r="G3" s="36">
        <v>2482</v>
      </c>
      <c r="H3" s="36">
        <v>1575</v>
      </c>
      <c r="I3" s="36">
        <v>1694</v>
      </c>
      <c r="J3" s="36">
        <v>1691</v>
      </c>
      <c r="K3" s="36">
        <v>1527</v>
      </c>
      <c r="L3" s="36">
        <v>2823</v>
      </c>
      <c r="M3" s="36">
        <v>3724</v>
      </c>
      <c r="N3" s="36">
        <v>3980</v>
      </c>
    </row>
    <row r="4" spans="2:14" x14ac:dyDescent="0.25">
      <c r="B4" t="s">
        <v>128</v>
      </c>
      <c r="C4">
        <v>718</v>
      </c>
      <c r="D4" s="36">
        <v>1126</v>
      </c>
      <c r="E4" s="36">
        <v>1719</v>
      </c>
      <c r="F4" s="36">
        <v>2196</v>
      </c>
      <c r="G4" s="36">
        <v>2851</v>
      </c>
      <c r="H4" s="36">
        <v>2941</v>
      </c>
      <c r="I4" s="36">
        <v>2236</v>
      </c>
      <c r="J4" s="36">
        <v>1912</v>
      </c>
      <c r="K4" s="36">
        <v>2172</v>
      </c>
      <c r="L4" s="36">
        <v>3527</v>
      </c>
      <c r="M4" s="36">
        <v>4404</v>
      </c>
      <c r="N4" s="36">
        <v>4849</v>
      </c>
    </row>
    <row r="5" spans="2:14" x14ac:dyDescent="0.25">
      <c r="B5" t="s">
        <v>78</v>
      </c>
      <c r="C5">
        <v>-67</v>
      </c>
      <c r="D5">
        <v>-50</v>
      </c>
      <c r="E5">
        <v>-22</v>
      </c>
      <c r="F5">
        <v>-17</v>
      </c>
      <c r="G5">
        <v>-18</v>
      </c>
      <c r="H5">
        <v>-18</v>
      </c>
      <c r="I5">
        <v>0</v>
      </c>
      <c r="J5">
        <v>-73</v>
      </c>
      <c r="K5">
        <v>-147</v>
      </c>
      <c r="L5">
        <v>-59</v>
      </c>
      <c r="M5">
        <v>-5</v>
      </c>
      <c r="N5">
        <v>-176</v>
      </c>
    </row>
    <row r="6" spans="2:14" x14ac:dyDescent="0.25">
      <c r="B6" t="s">
        <v>45</v>
      </c>
      <c r="C6">
        <v>-38</v>
      </c>
      <c r="D6">
        <v>-119</v>
      </c>
      <c r="E6">
        <v>-104</v>
      </c>
      <c r="F6">
        <v>-28</v>
      </c>
      <c r="G6">
        <v>-59</v>
      </c>
      <c r="H6">
        <v>-239</v>
      </c>
      <c r="I6">
        <v>61</v>
      </c>
      <c r="J6">
        <v>-302</v>
      </c>
      <c r="K6">
        <v>-258</v>
      </c>
      <c r="L6">
        <v>-146</v>
      </c>
      <c r="M6">
        <v>-131</v>
      </c>
      <c r="N6">
        <v>-154</v>
      </c>
    </row>
    <row r="7" spans="2:14" x14ac:dyDescent="0.25">
      <c r="B7" t="s">
        <v>129</v>
      </c>
      <c r="C7">
        <v>237</v>
      </c>
      <c r="D7">
        <v>321</v>
      </c>
      <c r="E7">
        <v>241</v>
      </c>
      <c r="F7">
        <v>110</v>
      </c>
      <c r="G7">
        <v>407</v>
      </c>
      <c r="H7">
        <v>62</v>
      </c>
      <c r="I7">
        <v>-235</v>
      </c>
      <c r="J7">
        <v>495</v>
      </c>
      <c r="K7">
        <v>283</v>
      </c>
      <c r="L7">
        <v>22</v>
      </c>
      <c r="M7">
        <v>304</v>
      </c>
      <c r="N7">
        <v>440</v>
      </c>
    </row>
    <row r="8" spans="2:14" x14ac:dyDescent="0.25">
      <c r="B8" t="s">
        <v>130</v>
      </c>
      <c r="C8">
        <v>-20</v>
      </c>
      <c r="D8">
        <v>-103</v>
      </c>
      <c r="E8">
        <v>-12</v>
      </c>
      <c r="F8">
        <v>6</v>
      </c>
      <c r="G8">
        <v>0</v>
      </c>
      <c r="H8">
        <v>-1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25">
      <c r="B9" t="s">
        <v>131</v>
      </c>
      <c r="C9">
        <v>37</v>
      </c>
      <c r="D9">
        <v>152</v>
      </c>
      <c r="E9">
        <v>160</v>
      </c>
      <c r="F9">
        <v>92</v>
      </c>
      <c r="G9">
        <v>109</v>
      </c>
      <c r="H9">
        <v>-262</v>
      </c>
      <c r="I9">
        <v>259</v>
      </c>
      <c r="J9">
        <v>115</v>
      </c>
      <c r="K9">
        <v>-10</v>
      </c>
      <c r="L9">
        <v>249</v>
      </c>
      <c r="M9">
        <v>220</v>
      </c>
      <c r="N9">
        <v>101</v>
      </c>
    </row>
    <row r="10" spans="2:14" x14ac:dyDescent="0.25">
      <c r="B10" t="s">
        <v>132</v>
      </c>
      <c r="C10">
        <v>149</v>
      </c>
      <c r="D10">
        <v>202</v>
      </c>
      <c r="E10">
        <v>263</v>
      </c>
      <c r="F10">
        <v>163</v>
      </c>
      <c r="G10">
        <v>438</v>
      </c>
      <c r="H10">
        <v>-457</v>
      </c>
      <c r="I10">
        <v>86</v>
      </c>
      <c r="J10">
        <v>235</v>
      </c>
      <c r="K10">
        <v>-131</v>
      </c>
      <c r="L10">
        <v>66</v>
      </c>
      <c r="M10">
        <v>388</v>
      </c>
      <c r="N10">
        <v>211</v>
      </c>
    </row>
    <row r="11" spans="2:14" x14ac:dyDescent="0.25">
      <c r="B11" t="s">
        <v>133</v>
      </c>
      <c r="C11">
        <v>-150</v>
      </c>
      <c r="D11">
        <v>-281</v>
      </c>
      <c r="E11">
        <v>-519</v>
      </c>
      <c r="F11">
        <v>-652</v>
      </c>
      <c r="G11">
        <v>-807</v>
      </c>
      <c r="H11">
        <v>-908</v>
      </c>
      <c r="I11">
        <v>-628</v>
      </c>
      <c r="J11">
        <v>-457</v>
      </c>
      <c r="K11">
        <v>-514</v>
      </c>
      <c r="L11">
        <v>-770</v>
      </c>
      <c r="M11" s="36">
        <v>-1068</v>
      </c>
      <c r="N11" s="36">
        <v>-1080</v>
      </c>
    </row>
    <row r="12" spans="2:14" x14ac:dyDescent="0.25">
      <c r="B12" t="s">
        <v>134</v>
      </c>
      <c r="C12">
        <v>-790</v>
      </c>
      <c r="D12" s="36">
        <v>-1214</v>
      </c>
      <c r="E12" s="36">
        <v>-1001</v>
      </c>
      <c r="F12" s="36">
        <v>-1744</v>
      </c>
      <c r="G12" s="36">
        <v>-2145</v>
      </c>
      <c r="H12">
        <v>-660</v>
      </c>
      <c r="I12" s="36">
        <v>-1508</v>
      </c>
      <c r="J12" s="36">
        <v>-1625</v>
      </c>
      <c r="K12">
        <v>-983</v>
      </c>
      <c r="L12" s="36">
        <v>-2397</v>
      </c>
      <c r="M12" s="36">
        <v>-2834</v>
      </c>
      <c r="N12" s="36">
        <v>-2461</v>
      </c>
    </row>
    <row r="13" spans="2:14" x14ac:dyDescent="0.25">
      <c r="B13" t="s">
        <v>135</v>
      </c>
      <c r="C13">
        <v>-712</v>
      </c>
      <c r="D13">
        <v>-972</v>
      </c>
      <c r="E13">
        <v>-510</v>
      </c>
      <c r="F13">
        <v>-548</v>
      </c>
      <c r="G13">
        <v>-748</v>
      </c>
      <c r="H13">
        <v>-792</v>
      </c>
      <c r="I13">
        <v>-546</v>
      </c>
      <c r="J13">
        <v>-532</v>
      </c>
      <c r="K13">
        <v>-641</v>
      </c>
      <c r="L13">
        <v>-682</v>
      </c>
      <c r="M13">
        <v>-819</v>
      </c>
      <c r="N13" s="36">
        <v>-1039</v>
      </c>
    </row>
    <row r="14" spans="2:14" x14ac:dyDescent="0.25">
      <c r="B14" t="s">
        <v>136</v>
      </c>
      <c r="C14">
        <v>7</v>
      </c>
      <c r="D14">
        <v>4</v>
      </c>
      <c r="E14">
        <v>1</v>
      </c>
      <c r="F14">
        <v>1</v>
      </c>
      <c r="G14">
        <v>3</v>
      </c>
      <c r="H14">
        <v>2</v>
      </c>
      <c r="I14">
        <v>1</v>
      </c>
      <c r="J14">
        <v>17</v>
      </c>
      <c r="K14">
        <v>2</v>
      </c>
      <c r="L14">
        <v>9</v>
      </c>
      <c r="M14">
        <v>4</v>
      </c>
      <c r="N14">
        <v>11</v>
      </c>
    </row>
    <row r="15" spans="2:14" x14ac:dyDescent="0.25">
      <c r="B15" t="s">
        <v>137</v>
      </c>
      <c r="C15">
        <v>-187</v>
      </c>
      <c r="D15">
        <v>-181</v>
      </c>
      <c r="E15">
        <v>-662</v>
      </c>
      <c r="F15" s="36">
        <v>-4247</v>
      </c>
      <c r="G15" s="36">
        <v>-6464</v>
      </c>
      <c r="H15" s="36">
        <v>-7929</v>
      </c>
      <c r="I15" s="36">
        <v>-8746</v>
      </c>
      <c r="J15" s="36">
        <v>-3983</v>
      </c>
      <c r="K15" s="36">
        <v>-7134</v>
      </c>
      <c r="L15" s="36">
        <v>-9103</v>
      </c>
      <c r="M15" s="36">
        <v>-6106</v>
      </c>
      <c r="N15" s="36">
        <v>-6939</v>
      </c>
    </row>
    <row r="16" spans="2:14" x14ac:dyDescent="0.25">
      <c r="B16" t="s">
        <v>138</v>
      </c>
      <c r="C16">
        <v>29</v>
      </c>
      <c r="D16">
        <v>0</v>
      </c>
      <c r="E16">
        <v>158</v>
      </c>
      <c r="F16" s="36">
        <v>3051</v>
      </c>
      <c r="G16" s="36">
        <v>6124</v>
      </c>
      <c r="H16" s="36">
        <v>9051</v>
      </c>
      <c r="I16" s="36">
        <v>8176</v>
      </c>
      <c r="J16" s="36">
        <v>5971</v>
      </c>
      <c r="K16" s="36">
        <v>3500</v>
      </c>
      <c r="L16" s="36">
        <v>5080</v>
      </c>
      <c r="M16" s="36">
        <v>5968</v>
      </c>
      <c r="N16" s="36">
        <v>6826</v>
      </c>
    </row>
    <row r="17" spans="2:14" x14ac:dyDescent="0.25">
      <c r="B17" t="s">
        <v>139</v>
      </c>
      <c r="C17">
        <v>66</v>
      </c>
      <c r="D17">
        <v>55</v>
      </c>
      <c r="E17">
        <v>4</v>
      </c>
      <c r="F17">
        <v>3</v>
      </c>
      <c r="G17">
        <v>12</v>
      </c>
      <c r="H17">
        <v>90</v>
      </c>
      <c r="I17">
        <v>204</v>
      </c>
      <c r="J17">
        <v>192</v>
      </c>
      <c r="K17">
        <v>398</v>
      </c>
      <c r="L17">
        <v>204</v>
      </c>
      <c r="M17">
        <v>112</v>
      </c>
      <c r="N17">
        <v>188</v>
      </c>
    </row>
    <row r="18" spans="2:14" x14ac:dyDescent="0.25">
      <c r="B18" t="s">
        <v>140</v>
      </c>
      <c r="C18">
        <v>7</v>
      </c>
      <c r="D18">
        <v>5</v>
      </c>
      <c r="E18">
        <v>107</v>
      </c>
      <c r="F18">
        <v>0</v>
      </c>
      <c r="G18">
        <v>52</v>
      </c>
      <c r="H18">
        <v>65</v>
      </c>
      <c r="I18">
        <v>68</v>
      </c>
      <c r="J18">
        <v>0</v>
      </c>
      <c r="K18">
        <v>27</v>
      </c>
      <c r="L18">
        <v>41</v>
      </c>
      <c r="M18">
        <v>95</v>
      </c>
      <c r="N18">
        <v>136</v>
      </c>
    </row>
    <row r="19" spans="2:14" x14ac:dyDescent="0.25">
      <c r="B19" t="s">
        <v>141</v>
      </c>
      <c r="C19">
        <v>0</v>
      </c>
      <c r="D19">
        <v>0</v>
      </c>
      <c r="E19">
        <v>-109</v>
      </c>
      <c r="F19">
        <v>-39</v>
      </c>
      <c r="G19">
        <v>-16</v>
      </c>
      <c r="H19">
        <v>-30</v>
      </c>
      <c r="I19">
        <v>-1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25">
      <c r="B20" t="s">
        <v>142</v>
      </c>
      <c r="C20">
        <v>0</v>
      </c>
      <c r="D20">
        <v>-125</v>
      </c>
      <c r="E20">
        <v>9</v>
      </c>
      <c r="F20">
        <v>36</v>
      </c>
      <c r="G20" s="36">
        <v>-1106</v>
      </c>
      <c r="H20" s="36">
        <v>-1117</v>
      </c>
      <c r="I20">
        <v>-665</v>
      </c>
      <c r="J20" s="36">
        <v>-3290</v>
      </c>
      <c r="K20" s="36">
        <v>2864</v>
      </c>
      <c r="L20" s="36">
        <v>2055</v>
      </c>
      <c r="M20" s="36">
        <v>-2089</v>
      </c>
      <c r="N20" s="36">
        <v>-1643</v>
      </c>
    </row>
    <row r="21" spans="2:14" x14ac:dyDescent="0.25">
      <c r="B21" t="s">
        <v>143</v>
      </c>
      <c r="C21">
        <v>-47</v>
      </c>
      <c r="D21">
        <v>-162</v>
      </c>
      <c r="E21">
        <v>-466</v>
      </c>
      <c r="F21">
        <v>25</v>
      </c>
      <c r="G21">
        <v>-262</v>
      </c>
      <c r="H21">
        <v>-292</v>
      </c>
      <c r="I21">
        <v>-858</v>
      </c>
      <c r="J21">
        <v>-15</v>
      </c>
      <c r="K21">
        <v>-593</v>
      </c>
      <c r="L21">
        <v>-417</v>
      </c>
      <c r="M21">
        <v>-844</v>
      </c>
      <c r="N21" s="36">
        <v>-1399</v>
      </c>
    </row>
    <row r="22" spans="2:14" x14ac:dyDescent="0.25">
      <c r="B22" t="s">
        <v>144</v>
      </c>
      <c r="C22">
        <v>2</v>
      </c>
      <c r="D22">
        <v>8</v>
      </c>
      <c r="E22">
        <v>5</v>
      </c>
      <c r="F22">
        <v>6</v>
      </c>
      <c r="G22">
        <v>19</v>
      </c>
      <c r="H22">
        <v>36</v>
      </c>
      <c r="I22">
        <v>29</v>
      </c>
      <c r="J22">
        <v>38</v>
      </c>
      <c r="K22">
        <v>6</v>
      </c>
      <c r="L22">
        <v>11</v>
      </c>
      <c r="M22">
        <v>47</v>
      </c>
      <c r="N22">
        <v>97</v>
      </c>
    </row>
    <row r="23" spans="2:14" x14ac:dyDescent="0.25">
      <c r="B23" t="s">
        <v>145</v>
      </c>
      <c r="C23">
        <v>62</v>
      </c>
      <c r="D23">
        <v>0</v>
      </c>
      <c r="E23">
        <v>0</v>
      </c>
      <c r="F23">
        <v>389</v>
      </c>
      <c r="G23">
        <v>495</v>
      </c>
      <c r="H23">
        <v>369</v>
      </c>
      <c r="I23">
        <v>267</v>
      </c>
      <c r="J23">
        <v>40</v>
      </c>
      <c r="K23">
        <v>32</v>
      </c>
      <c r="L23">
        <v>202</v>
      </c>
      <c r="M23">
        <v>322</v>
      </c>
      <c r="N23">
        <v>38</v>
      </c>
    </row>
    <row r="24" spans="2:14" x14ac:dyDescent="0.25">
      <c r="B24" t="s">
        <v>146</v>
      </c>
      <c r="C24">
        <v>-1</v>
      </c>
      <c r="D24">
        <v>-26</v>
      </c>
      <c r="E24">
        <v>0</v>
      </c>
      <c r="F24">
        <v>-345</v>
      </c>
      <c r="G24">
        <v>-456</v>
      </c>
      <c r="H24">
        <v>-344</v>
      </c>
      <c r="I24">
        <v>-298</v>
      </c>
      <c r="J24">
        <v>-27</v>
      </c>
      <c r="K24">
        <v>-137</v>
      </c>
      <c r="L24">
        <v>-20</v>
      </c>
      <c r="M24">
        <v>-127</v>
      </c>
      <c r="N24">
        <v>-43</v>
      </c>
    </row>
    <row r="25" spans="2:14" x14ac:dyDescent="0.25">
      <c r="B25" t="s">
        <v>147</v>
      </c>
      <c r="C25">
        <v>-8</v>
      </c>
      <c r="D25">
        <v>-10</v>
      </c>
      <c r="E25">
        <v>-2</v>
      </c>
      <c r="F25">
        <v>-2</v>
      </c>
      <c r="G25">
        <v>-3</v>
      </c>
      <c r="H25">
        <v>-5</v>
      </c>
      <c r="I25">
        <v>-8</v>
      </c>
      <c r="J25">
        <v>-16</v>
      </c>
      <c r="K25">
        <v>-19</v>
      </c>
      <c r="L25">
        <v>-18</v>
      </c>
      <c r="M25">
        <v>-35</v>
      </c>
      <c r="N25">
        <v>-37</v>
      </c>
    </row>
    <row r="26" spans="2:14" x14ac:dyDescent="0.25">
      <c r="B26" t="s">
        <v>148</v>
      </c>
      <c r="C26">
        <v>-88</v>
      </c>
      <c r="D26">
        <v>-115</v>
      </c>
      <c r="E26">
        <v>-407</v>
      </c>
      <c r="F26">
        <v>0</v>
      </c>
      <c r="G26">
        <v>-272</v>
      </c>
      <c r="H26">
        <v>-300</v>
      </c>
      <c r="I26">
        <v>-682</v>
      </c>
      <c r="J26">
        <v>0</v>
      </c>
      <c r="K26">
        <v>-465</v>
      </c>
      <c r="L26">
        <v>-574</v>
      </c>
      <c r="M26" s="36">
        <v>-1013</v>
      </c>
      <c r="N26" s="36">
        <v>-1397</v>
      </c>
    </row>
    <row r="27" spans="2:14" x14ac:dyDescent="0.25">
      <c r="B27" t="s">
        <v>149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-40</v>
      </c>
      <c r="J27">
        <v>-39</v>
      </c>
      <c r="K27">
        <v>-17</v>
      </c>
      <c r="L27">
        <v>-19</v>
      </c>
      <c r="M27">
        <v>-37</v>
      </c>
      <c r="N27">
        <v>-56</v>
      </c>
    </row>
    <row r="28" spans="2:14" x14ac:dyDescent="0.25">
      <c r="B28" t="s">
        <v>150</v>
      </c>
      <c r="C28">
        <v>-14</v>
      </c>
      <c r="D28">
        <v>-20</v>
      </c>
      <c r="E28">
        <v>-61</v>
      </c>
      <c r="F28">
        <v>-23</v>
      </c>
      <c r="G28">
        <v>-45</v>
      </c>
      <c r="H28">
        <v>-48</v>
      </c>
      <c r="I28">
        <v>-126</v>
      </c>
      <c r="J28">
        <v>-11</v>
      </c>
      <c r="K28">
        <v>5</v>
      </c>
      <c r="L28">
        <v>0</v>
      </c>
      <c r="M28">
        <v>0</v>
      </c>
      <c r="N28">
        <v>0</v>
      </c>
    </row>
    <row r="29" spans="2:14" x14ac:dyDescent="0.25">
      <c r="B29" t="s">
        <v>35</v>
      </c>
      <c r="C29">
        <v>-121</v>
      </c>
      <c r="D29">
        <v>-329</v>
      </c>
      <c r="E29">
        <v>-4</v>
      </c>
      <c r="F29">
        <v>-10</v>
      </c>
      <c r="G29">
        <v>75</v>
      </c>
      <c r="H29">
        <v>623</v>
      </c>
      <c r="I29">
        <v>-673</v>
      </c>
      <c r="J29">
        <v>51</v>
      </c>
      <c r="K29">
        <v>-50</v>
      </c>
      <c r="L29">
        <v>8</v>
      </c>
      <c r="M29">
        <v>45</v>
      </c>
      <c r="N29">
        <v>121</v>
      </c>
    </row>
  </sheetData>
  <sheetProtection algorithmName="SHA-512" hashValue="lHhH5KaalXo8rz6JTr5FOeaoMSgyxrREVRPnEpJWah4oiSk1cS5OHSQhI+0WdtzZWHuAVXTdnlGyRUQdpoJfBQ==" saltValue="O6eMiCDcvYAXAl9mEog7eg==" spinCount="100000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3D5B-6ED0-4407-AB73-3DC2ADC9682B}">
  <sheetPr>
    <tabColor rgb="FFC00000"/>
  </sheetPr>
  <dimension ref="B2:F31"/>
  <sheetViews>
    <sheetView workbookViewId="0">
      <selection activeCell="E19" sqref="E19"/>
    </sheetView>
  </sheetViews>
  <sheetFormatPr defaultRowHeight="15" x14ac:dyDescent="0.25"/>
  <cols>
    <col min="1" max="1" width="2" style="114" customWidth="1"/>
    <col min="2" max="4" width="9.140625" style="114"/>
    <col min="5" max="5" width="22.42578125" style="114" bestFit="1" customWidth="1"/>
    <col min="6" max="16384" width="9.140625" style="114"/>
  </cols>
  <sheetData>
    <row r="2" spans="2:6" x14ac:dyDescent="0.25">
      <c r="B2" s="212" t="s">
        <v>262</v>
      </c>
      <c r="C2" s="212"/>
      <c r="D2" s="212"/>
      <c r="E2" s="212"/>
    </row>
    <row r="4" spans="2:6" x14ac:dyDescent="0.25">
      <c r="B4" s="119" t="s">
        <v>261</v>
      </c>
      <c r="C4" s="120" t="s">
        <v>260</v>
      </c>
      <c r="E4" s="119" t="s">
        <v>259</v>
      </c>
      <c r="F4" s="118">
        <f>AVERAGE(C5:C30)</f>
        <v>0.1514923076923077</v>
      </c>
    </row>
    <row r="5" spans="2:6" x14ac:dyDescent="0.25">
      <c r="B5" s="115">
        <v>2000</v>
      </c>
      <c r="C5" s="116">
        <v>-0.14649999999999999</v>
      </c>
      <c r="E5" s="114" t="s">
        <v>258</v>
      </c>
      <c r="F5" s="118">
        <v>1.2800000000000001E-2</v>
      </c>
    </row>
    <row r="6" spans="2:6" x14ac:dyDescent="0.25">
      <c r="B6" s="115">
        <v>2001</v>
      </c>
      <c r="C6" s="116">
        <v>-0.1618</v>
      </c>
      <c r="E6" s="117" t="s">
        <v>257</v>
      </c>
      <c r="F6" s="117">
        <f>SUM(F4:F5)</f>
        <v>0.16429230769230771</v>
      </c>
    </row>
    <row r="7" spans="2:6" x14ac:dyDescent="0.25">
      <c r="B7" s="115">
        <v>2002</v>
      </c>
      <c r="C7" s="116">
        <v>3.2500000000000001E-2</v>
      </c>
    </row>
    <row r="8" spans="2:6" x14ac:dyDescent="0.25">
      <c r="B8" s="115">
        <v>2003</v>
      </c>
      <c r="C8" s="116">
        <v>0.71900000000000008</v>
      </c>
    </row>
    <row r="9" spans="2:6" x14ac:dyDescent="0.25">
      <c r="B9" s="115">
        <v>2004</v>
      </c>
      <c r="C9" s="116">
        <v>0.10679999999999999</v>
      </c>
    </row>
    <row r="10" spans="2:6" x14ac:dyDescent="0.25">
      <c r="B10" s="115">
        <v>2005</v>
      </c>
      <c r="C10" s="116">
        <v>0.36340000000000006</v>
      </c>
    </row>
    <row r="11" spans="2:6" x14ac:dyDescent="0.25">
      <c r="B11" s="115">
        <v>2006</v>
      </c>
      <c r="C11" s="116">
        <v>0.39829999999999999</v>
      </c>
    </row>
    <row r="12" spans="2:6" x14ac:dyDescent="0.25">
      <c r="B12" s="115">
        <v>2007</v>
      </c>
      <c r="C12" s="116">
        <v>0.54770000000000008</v>
      </c>
    </row>
    <row r="13" spans="2:6" x14ac:dyDescent="0.25">
      <c r="B13" s="115">
        <v>2008</v>
      </c>
      <c r="C13" s="116">
        <v>-0.51790000000000003</v>
      </c>
    </row>
    <row r="14" spans="2:6" x14ac:dyDescent="0.25">
      <c r="B14" s="115">
        <v>2009</v>
      </c>
      <c r="C14" s="116">
        <v>0.75760000000000005</v>
      </c>
    </row>
    <row r="15" spans="2:6" x14ac:dyDescent="0.25">
      <c r="B15" s="115">
        <v>2010</v>
      </c>
      <c r="C15" s="116">
        <v>0.17949999999999999</v>
      </c>
    </row>
    <row r="16" spans="2:6" x14ac:dyDescent="0.25">
      <c r="B16" s="115">
        <v>2011</v>
      </c>
      <c r="C16" s="116">
        <v>-0.2462</v>
      </c>
    </row>
    <row r="17" spans="2:3" x14ac:dyDescent="0.25">
      <c r="B17" s="115">
        <v>2012</v>
      </c>
      <c r="C17" s="116">
        <v>0.27699999999999997</v>
      </c>
    </row>
    <row r="18" spans="2:3" x14ac:dyDescent="0.25">
      <c r="B18" s="115">
        <v>2013</v>
      </c>
      <c r="C18" s="116">
        <v>6.7599999999999993E-2</v>
      </c>
    </row>
    <row r="19" spans="2:3" x14ac:dyDescent="0.25">
      <c r="B19" s="115">
        <v>2014</v>
      </c>
      <c r="C19" s="116">
        <v>0.31390000000000001</v>
      </c>
    </row>
    <row r="20" spans="2:3" x14ac:dyDescent="0.25">
      <c r="B20" s="115">
        <v>2015</v>
      </c>
      <c r="C20" s="116">
        <v>-4.0599999999999997E-2</v>
      </c>
    </row>
    <row r="21" spans="2:3" x14ac:dyDescent="0.25">
      <c r="B21" s="115">
        <v>2016</v>
      </c>
      <c r="C21" s="116">
        <v>3.0099999999999998E-2</v>
      </c>
    </row>
    <row r="22" spans="2:3" x14ac:dyDescent="0.25">
      <c r="B22" s="115">
        <v>2017</v>
      </c>
      <c r="C22" s="116">
        <v>0.28649999999999998</v>
      </c>
    </row>
    <row r="23" spans="2:3" x14ac:dyDescent="0.25">
      <c r="B23" s="115">
        <v>2018</v>
      </c>
      <c r="C23" s="116">
        <v>3.15E-2</v>
      </c>
    </row>
    <row r="24" spans="2:3" x14ac:dyDescent="0.25">
      <c r="B24" s="115">
        <v>2019</v>
      </c>
      <c r="C24" s="116">
        <v>0.1202</v>
      </c>
    </row>
    <row r="25" spans="2:3" x14ac:dyDescent="0.25">
      <c r="B25" s="115">
        <v>2020</v>
      </c>
      <c r="C25" s="116">
        <v>0.14899999999999999</v>
      </c>
    </row>
    <row r="26" spans="2:3" x14ac:dyDescent="0.25">
      <c r="B26" s="115">
        <v>2021</v>
      </c>
      <c r="C26" s="116">
        <v>0.2412</v>
      </c>
    </row>
    <row r="27" spans="2:3" x14ac:dyDescent="0.25">
      <c r="B27" s="115">
        <v>2022</v>
      </c>
      <c r="C27" s="116">
        <v>4.3200000000000002E-2</v>
      </c>
    </row>
    <row r="28" spans="2:3" x14ac:dyDescent="0.25">
      <c r="B28" s="115">
        <v>2023</v>
      </c>
      <c r="C28" s="116">
        <v>0.19420000000000001</v>
      </c>
    </row>
    <row r="29" spans="2:3" x14ac:dyDescent="0.25">
      <c r="B29" s="115">
        <v>2024</v>
      </c>
      <c r="C29" s="116">
        <v>8.7499999999999994E-2</v>
      </c>
    </row>
    <row r="30" spans="2:3" x14ac:dyDescent="0.25">
      <c r="B30" s="115">
        <v>2025</v>
      </c>
      <c r="C30" s="116">
        <v>0.1051</v>
      </c>
    </row>
    <row r="31" spans="2:3" x14ac:dyDescent="0.25">
      <c r="B31" s="115"/>
    </row>
  </sheetData>
  <sheetProtection algorithmName="SHA-512" hashValue="XpQQSDJ0ilGX3ngH4cyVEtioxOaDnCPeQdqYL6NWiY/cN8q+tsDSJ1yuw/yclolOXN5ncW/RwsURsGA2SzeRMw==" saltValue="FfcbeA6nJ8UYEvpeVuhJYw==" spinCount="100000" sheet="1" objects="1" scenarios="1"/>
  <mergeCells count="1">
    <mergeCell ref="B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CD43-C38D-48D3-8AE7-265D46CC3236}">
  <sheetPr>
    <tabColor rgb="FFC00000"/>
  </sheetPr>
  <dimension ref="B1:N80"/>
  <sheetViews>
    <sheetView showGridLines="0" topLeftCell="A28" workbookViewId="0">
      <selection activeCell="F68" sqref="F68"/>
    </sheetView>
  </sheetViews>
  <sheetFormatPr defaultRowHeight="15" x14ac:dyDescent="0.25"/>
  <cols>
    <col min="1" max="1" width="1.85546875" customWidth="1"/>
    <col min="2" max="2" width="28.85546875" bestFit="1" customWidth="1"/>
    <col min="3" max="8" width="15.5703125" customWidth="1"/>
  </cols>
  <sheetData>
    <row r="1" spans="2:8" x14ac:dyDescent="0.25">
      <c r="B1" s="213" t="s">
        <v>236</v>
      </c>
      <c r="C1" s="213"/>
      <c r="D1" s="213"/>
      <c r="E1" s="213"/>
      <c r="F1" s="213"/>
      <c r="G1" s="213"/>
      <c r="H1" s="213"/>
    </row>
    <row r="2" spans="2:8" x14ac:dyDescent="0.25">
      <c r="B2" s="213"/>
      <c r="C2" s="213"/>
      <c r="D2" s="213"/>
      <c r="E2" s="213"/>
      <c r="F2" s="213"/>
      <c r="G2" s="213"/>
      <c r="H2" s="213"/>
    </row>
    <row r="4" spans="2:8" x14ac:dyDescent="0.25">
      <c r="B4" s="66" t="s">
        <v>216</v>
      </c>
      <c r="C4" s="67">
        <v>43891</v>
      </c>
      <c r="D4" s="67">
        <v>44256</v>
      </c>
      <c r="E4" s="67">
        <v>44621</v>
      </c>
      <c r="F4" s="67">
        <v>44986</v>
      </c>
      <c r="G4" s="67">
        <v>45352</v>
      </c>
      <c r="H4" s="67">
        <v>45717</v>
      </c>
    </row>
    <row r="5" spans="2:8" x14ac:dyDescent="0.25">
      <c r="B5" s="2" t="s">
        <v>189</v>
      </c>
      <c r="C5" s="71">
        <v>27</v>
      </c>
      <c r="D5" s="71">
        <v>27</v>
      </c>
      <c r="E5" s="71">
        <v>27</v>
      </c>
      <c r="F5" s="71">
        <v>27</v>
      </c>
      <c r="G5" s="71">
        <v>27</v>
      </c>
      <c r="H5" s="71">
        <v>27</v>
      </c>
    </row>
    <row r="6" spans="2:8" x14ac:dyDescent="0.25">
      <c r="B6" s="2" t="s">
        <v>25</v>
      </c>
      <c r="C6" s="71">
        <v>9954</v>
      </c>
      <c r="D6" s="71">
        <v>11411</v>
      </c>
      <c r="E6" s="71">
        <v>12581</v>
      </c>
      <c r="F6" s="71">
        <v>14963</v>
      </c>
      <c r="G6" s="71">
        <v>18018</v>
      </c>
      <c r="H6" s="71">
        <v>21269</v>
      </c>
    </row>
    <row r="7" spans="2:8" x14ac:dyDescent="0.25">
      <c r="B7" s="2" t="s">
        <v>190</v>
      </c>
      <c r="C7" s="71"/>
      <c r="D7" s="71"/>
      <c r="E7" s="71"/>
      <c r="F7" s="71"/>
      <c r="G7" s="71"/>
      <c r="H7" s="71"/>
    </row>
    <row r="8" spans="2:8" x14ac:dyDescent="0.25">
      <c r="B8" t="s">
        <v>191</v>
      </c>
      <c r="C8" s="71">
        <v>0</v>
      </c>
      <c r="D8" s="71">
        <v>0</v>
      </c>
      <c r="E8" s="71">
        <v>0</v>
      </c>
      <c r="F8" s="71">
        <v>63</v>
      </c>
      <c r="G8" s="71">
        <v>163</v>
      </c>
      <c r="H8" s="71">
        <v>184</v>
      </c>
    </row>
    <row r="9" spans="2:8" x14ac:dyDescent="0.25">
      <c r="B9" t="s">
        <v>192</v>
      </c>
      <c r="C9" s="71">
        <v>144</v>
      </c>
      <c r="D9" s="71">
        <v>157</v>
      </c>
      <c r="E9" s="71">
        <v>59</v>
      </c>
      <c r="F9" s="71">
        <v>133</v>
      </c>
      <c r="G9" s="71">
        <v>112</v>
      </c>
      <c r="H9" s="71">
        <v>82</v>
      </c>
    </row>
    <row r="10" spans="2:8" x14ac:dyDescent="0.25">
      <c r="B10" t="s">
        <v>193</v>
      </c>
      <c r="C10" s="71">
        <v>105</v>
      </c>
      <c r="D10" s="71">
        <v>62</v>
      </c>
      <c r="E10" s="71">
        <v>49</v>
      </c>
      <c r="F10" s="71">
        <v>93</v>
      </c>
      <c r="G10" s="71">
        <v>144</v>
      </c>
      <c r="H10" s="71">
        <v>192</v>
      </c>
    </row>
    <row r="11" spans="2:8" x14ac:dyDescent="0.25">
      <c r="B11" s="2" t="s">
        <v>218</v>
      </c>
      <c r="C11" s="71"/>
      <c r="D11" s="71"/>
      <c r="E11" s="71"/>
      <c r="F11" s="71"/>
      <c r="G11" s="71"/>
      <c r="H11" s="71"/>
    </row>
    <row r="12" spans="2:8" x14ac:dyDescent="0.25">
      <c r="B12" t="s">
        <v>194</v>
      </c>
      <c r="C12" s="71">
        <v>1008</v>
      </c>
      <c r="D12" s="71">
        <v>1513</v>
      </c>
      <c r="E12" s="71">
        <v>1788</v>
      </c>
      <c r="F12" s="71">
        <v>1810</v>
      </c>
      <c r="G12" s="71">
        <v>2090</v>
      </c>
      <c r="H12" s="71">
        <v>2530</v>
      </c>
    </row>
    <row r="13" spans="2:8" x14ac:dyDescent="0.25">
      <c r="B13" t="s">
        <v>195</v>
      </c>
      <c r="C13" s="71">
        <v>61</v>
      </c>
      <c r="D13" s="71">
        <v>137</v>
      </c>
      <c r="E13" s="71">
        <v>148</v>
      </c>
      <c r="F13" s="71">
        <v>126</v>
      </c>
      <c r="G13" s="71">
        <v>0</v>
      </c>
      <c r="H13" s="71">
        <v>0</v>
      </c>
    </row>
    <row r="14" spans="2:8" x14ac:dyDescent="0.25">
      <c r="B14" t="s">
        <v>196</v>
      </c>
      <c r="C14" s="72">
        <v>1151</v>
      </c>
      <c r="D14" s="72">
        <v>1251</v>
      </c>
      <c r="E14" s="72">
        <v>1488</v>
      </c>
      <c r="F14" s="72">
        <v>1982</v>
      </c>
      <c r="G14" s="72">
        <v>2560</v>
      </c>
      <c r="H14" s="72">
        <v>2890</v>
      </c>
    </row>
    <row r="15" spans="2:8" ht="15.75" thickBot="1" x14ac:dyDescent="0.3">
      <c r="B15" s="68" t="s">
        <v>120</v>
      </c>
      <c r="C15" s="73">
        <v>12450</v>
      </c>
      <c r="D15" s="73">
        <v>14559</v>
      </c>
      <c r="E15" s="73">
        <v>16140</v>
      </c>
      <c r="F15" s="73">
        <v>19198</v>
      </c>
      <c r="G15" s="73">
        <v>23115</v>
      </c>
      <c r="H15" s="73">
        <v>27174</v>
      </c>
    </row>
    <row r="16" spans="2:8" ht="15.75" thickTop="1" x14ac:dyDescent="0.25">
      <c r="B16" s="2"/>
      <c r="C16" s="36"/>
      <c r="D16" s="36"/>
      <c r="E16" s="36"/>
      <c r="F16" s="36"/>
      <c r="G16" s="36"/>
      <c r="H16" s="36"/>
    </row>
    <row r="17" spans="2:12" x14ac:dyDescent="0.25">
      <c r="B17" s="2" t="s">
        <v>197</v>
      </c>
      <c r="C17" s="36"/>
      <c r="D17" s="36"/>
      <c r="E17" s="36"/>
      <c r="F17" s="36"/>
      <c r="G17" s="36"/>
      <c r="H17" s="36"/>
    </row>
    <row r="18" spans="2:12" x14ac:dyDescent="0.25">
      <c r="B18" t="s">
        <v>198</v>
      </c>
      <c r="C18" s="71">
        <v>182</v>
      </c>
      <c r="D18" s="71">
        <v>232</v>
      </c>
      <c r="E18" s="71">
        <v>230</v>
      </c>
      <c r="F18" s="71">
        <v>230</v>
      </c>
      <c r="G18" s="71">
        <v>227</v>
      </c>
      <c r="H18" s="71">
        <v>226</v>
      </c>
    </row>
    <row r="19" spans="2:12" x14ac:dyDescent="0.25">
      <c r="B19" t="s">
        <v>199</v>
      </c>
      <c r="C19" s="71">
        <v>871</v>
      </c>
      <c r="D19" s="71">
        <v>866</v>
      </c>
      <c r="E19" s="71">
        <v>867</v>
      </c>
      <c r="F19" s="71">
        <v>1051</v>
      </c>
      <c r="G19" s="71">
        <v>1086</v>
      </c>
      <c r="H19" s="71">
        <v>1396</v>
      </c>
    </row>
    <row r="20" spans="2:12" x14ac:dyDescent="0.25">
      <c r="B20" t="s">
        <v>200</v>
      </c>
      <c r="C20" s="71">
        <v>1928</v>
      </c>
      <c r="D20" s="71">
        <v>2088</v>
      </c>
      <c r="E20" s="71">
        <v>2336</v>
      </c>
      <c r="F20" s="71">
        <v>2598</v>
      </c>
      <c r="G20" s="71">
        <v>2744</v>
      </c>
      <c r="H20" s="71">
        <v>3055</v>
      </c>
    </row>
    <row r="21" spans="2:12" x14ac:dyDescent="0.25">
      <c r="B21" t="s">
        <v>201</v>
      </c>
      <c r="C21" s="71">
        <v>188</v>
      </c>
      <c r="D21" s="71">
        <v>204</v>
      </c>
      <c r="E21" s="71">
        <v>226</v>
      </c>
      <c r="F21" s="71">
        <v>266</v>
      </c>
      <c r="G21" s="71">
        <v>231</v>
      </c>
      <c r="H21" s="71">
        <v>273</v>
      </c>
    </row>
    <row r="22" spans="2:12" x14ac:dyDescent="0.25">
      <c r="B22" t="s">
        <v>202</v>
      </c>
      <c r="C22" s="71">
        <v>34</v>
      </c>
      <c r="D22" s="71">
        <v>38</v>
      </c>
      <c r="E22" s="71">
        <v>37</v>
      </c>
      <c r="F22" s="71">
        <v>39</v>
      </c>
      <c r="G22" s="71">
        <v>42</v>
      </c>
      <c r="H22" s="71">
        <v>44</v>
      </c>
    </row>
    <row r="23" spans="2:12" x14ac:dyDescent="0.25">
      <c r="B23" t="s">
        <v>203</v>
      </c>
      <c r="C23" s="71">
        <v>81</v>
      </c>
      <c r="D23" s="71">
        <v>97</v>
      </c>
      <c r="E23" s="71">
        <v>122</v>
      </c>
      <c r="F23" s="71">
        <v>137</v>
      </c>
      <c r="G23" s="71">
        <v>180</v>
      </c>
      <c r="H23" s="71">
        <v>224</v>
      </c>
    </row>
    <row r="24" spans="2:12" x14ac:dyDescent="0.25">
      <c r="B24" t="s">
        <v>204</v>
      </c>
      <c r="C24" s="71">
        <v>0</v>
      </c>
      <c r="D24" s="71">
        <v>0</v>
      </c>
      <c r="E24" s="71">
        <v>0</v>
      </c>
      <c r="F24" s="71">
        <v>0</v>
      </c>
      <c r="G24" s="71">
        <v>0</v>
      </c>
      <c r="H24" s="71">
        <v>0</v>
      </c>
    </row>
    <row r="25" spans="2:12" x14ac:dyDescent="0.25">
      <c r="B25" t="s">
        <v>205</v>
      </c>
      <c r="C25" s="71">
        <v>301</v>
      </c>
      <c r="D25" s="71">
        <v>523</v>
      </c>
      <c r="E25" s="71">
        <v>588</v>
      </c>
      <c r="F25" s="71">
        <v>820</v>
      </c>
      <c r="G25" s="71">
        <v>1177</v>
      </c>
      <c r="H25" s="71">
        <v>1501</v>
      </c>
      <c r="L25" s="36"/>
    </row>
    <row r="26" spans="2:12" x14ac:dyDescent="0.25">
      <c r="B26" s="2" t="s">
        <v>206</v>
      </c>
      <c r="C26" s="74">
        <v>3585</v>
      </c>
      <c r="D26" s="74">
        <v>4049</v>
      </c>
      <c r="E26" s="74">
        <v>4405</v>
      </c>
      <c r="F26" s="74">
        <v>5142</v>
      </c>
      <c r="G26" s="74">
        <v>5687</v>
      </c>
      <c r="H26" s="74">
        <v>6718</v>
      </c>
    </row>
    <row r="27" spans="2:12" x14ac:dyDescent="0.25">
      <c r="B27" s="2" t="s">
        <v>207</v>
      </c>
      <c r="C27" s="75">
        <v>1208</v>
      </c>
      <c r="D27" s="75">
        <v>1616</v>
      </c>
      <c r="E27" s="75">
        <v>1981</v>
      </c>
      <c r="F27" s="75">
        <v>2452</v>
      </c>
      <c r="G27" s="75">
        <v>2772</v>
      </c>
      <c r="H27" s="75">
        <v>3245</v>
      </c>
      <c r="L27" s="36"/>
    </row>
    <row r="28" spans="2:12" x14ac:dyDescent="0.25">
      <c r="B28" s="77" t="s">
        <v>219</v>
      </c>
      <c r="C28" s="78">
        <f>C26-C27</f>
        <v>2377</v>
      </c>
      <c r="D28" s="78">
        <f t="shared" ref="D28:H28" si="0">D26-D27</f>
        <v>2433</v>
      </c>
      <c r="E28" s="78">
        <f t="shared" si="0"/>
        <v>2424</v>
      </c>
      <c r="F28" s="78">
        <f t="shared" si="0"/>
        <v>2690</v>
      </c>
      <c r="G28" s="78">
        <f t="shared" si="0"/>
        <v>2915</v>
      </c>
      <c r="H28" s="78">
        <f t="shared" si="0"/>
        <v>3473</v>
      </c>
      <c r="L28" s="36"/>
    </row>
    <row r="29" spans="2:12" x14ac:dyDescent="0.25">
      <c r="B29" s="2"/>
      <c r="C29" s="76"/>
      <c r="D29" s="76"/>
      <c r="E29" s="76"/>
      <c r="F29" s="76"/>
      <c r="G29" s="76"/>
      <c r="H29" s="76"/>
      <c r="L29" s="36"/>
    </row>
    <row r="30" spans="2:12" x14ac:dyDescent="0.25">
      <c r="B30" s="2" t="s">
        <v>208</v>
      </c>
      <c r="C30" s="71">
        <v>312</v>
      </c>
      <c r="D30" s="71">
        <v>314</v>
      </c>
      <c r="E30" s="71">
        <v>505</v>
      </c>
      <c r="F30" s="71">
        <v>472</v>
      </c>
      <c r="G30" s="71">
        <v>555</v>
      </c>
      <c r="H30" s="71">
        <v>491</v>
      </c>
    </row>
    <row r="31" spans="2:12" x14ac:dyDescent="0.25">
      <c r="B31" s="2" t="s">
        <v>29</v>
      </c>
      <c r="C31" s="71">
        <v>825</v>
      </c>
      <c r="D31" s="71">
        <v>1078</v>
      </c>
      <c r="E31" s="71">
        <v>3388</v>
      </c>
      <c r="F31" s="71">
        <v>4987</v>
      </c>
      <c r="G31" s="71">
        <v>5581</v>
      </c>
      <c r="H31" s="71">
        <v>4923</v>
      </c>
      <c r="L31" s="36"/>
    </row>
    <row r="32" spans="2:12" x14ac:dyDescent="0.25">
      <c r="B32" s="2"/>
      <c r="C32" s="71"/>
      <c r="D32" s="71"/>
      <c r="E32" s="71"/>
      <c r="F32" s="71"/>
      <c r="G32" s="71"/>
      <c r="H32" s="71"/>
      <c r="L32" s="36"/>
    </row>
    <row r="33" spans="2:14" s="2" customFormat="1" x14ac:dyDescent="0.25">
      <c r="B33" s="2" t="s">
        <v>209</v>
      </c>
      <c r="C33" s="71"/>
      <c r="D33" s="71"/>
      <c r="E33" s="71"/>
      <c r="F33" s="71"/>
      <c r="G33" s="71"/>
      <c r="H33" s="71"/>
      <c r="L33" s="36"/>
    </row>
    <row r="34" spans="2:14" x14ac:dyDescent="0.25">
      <c r="B34" t="s">
        <v>210</v>
      </c>
      <c r="C34" s="71">
        <v>572</v>
      </c>
      <c r="D34" s="71">
        <v>875</v>
      </c>
      <c r="E34" s="71">
        <v>1132</v>
      </c>
      <c r="F34" s="71">
        <v>1278</v>
      </c>
      <c r="G34" s="71">
        <v>1410</v>
      </c>
      <c r="H34" s="71">
        <v>1564</v>
      </c>
    </row>
    <row r="35" spans="2:14" x14ac:dyDescent="0.25">
      <c r="B35" t="s">
        <v>211</v>
      </c>
      <c r="C35" s="71">
        <v>87</v>
      </c>
      <c r="D35" s="71">
        <v>158</v>
      </c>
      <c r="E35" s="71">
        <v>302</v>
      </c>
      <c r="F35" s="71">
        <v>369</v>
      </c>
      <c r="G35" s="71">
        <v>374</v>
      </c>
      <c r="H35" s="71">
        <v>550</v>
      </c>
    </row>
    <row r="36" spans="2:14" x14ac:dyDescent="0.25">
      <c r="B36" t="s">
        <v>212</v>
      </c>
      <c r="C36" s="71">
        <v>2951</v>
      </c>
      <c r="D36" s="71">
        <v>5830</v>
      </c>
      <c r="E36" s="71">
        <v>2722</v>
      </c>
      <c r="F36" s="71">
        <v>766</v>
      </c>
      <c r="G36" s="71">
        <v>146</v>
      </c>
      <c r="H36" s="71">
        <v>263</v>
      </c>
    </row>
    <row r="37" spans="2:14" x14ac:dyDescent="0.25">
      <c r="B37" t="s">
        <v>213</v>
      </c>
      <c r="C37" s="71">
        <v>99</v>
      </c>
      <c r="D37" s="71">
        <v>594</v>
      </c>
      <c r="E37" s="71">
        <v>867</v>
      </c>
      <c r="F37" s="71">
        <v>835</v>
      </c>
      <c r="G37" s="71">
        <v>680</v>
      </c>
      <c r="H37" s="71">
        <v>725</v>
      </c>
    </row>
    <row r="38" spans="2:14" x14ac:dyDescent="0.25">
      <c r="B38" t="s">
        <v>214</v>
      </c>
      <c r="C38" s="72">
        <v>303</v>
      </c>
      <c r="D38" s="72">
        <v>452</v>
      </c>
      <c r="E38" s="72">
        <v>466</v>
      </c>
      <c r="F38" s="72">
        <v>467</v>
      </c>
      <c r="G38" s="72">
        <v>3509</v>
      </c>
      <c r="H38" s="72">
        <v>5317</v>
      </c>
    </row>
    <row r="39" spans="2:14" ht="15.75" thickBot="1" x14ac:dyDescent="0.3">
      <c r="B39" s="68" t="s">
        <v>215</v>
      </c>
      <c r="C39" s="73">
        <v>12450</v>
      </c>
      <c r="D39" s="73">
        <v>14559</v>
      </c>
      <c r="E39" s="73">
        <v>16140</v>
      </c>
      <c r="F39" s="73">
        <v>19198</v>
      </c>
      <c r="G39" s="73">
        <v>23115</v>
      </c>
      <c r="H39" s="73">
        <v>27174</v>
      </c>
    </row>
    <row r="40" spans="2:14" ht="15.75" thickTop="1" x14ac:dyDescent="0.25"/>
    <row r="43" spans="2:14" x14ac:dyDescent="0.25">
      <c r="B43" s="213" t="s">
        <v>126</v>
      </c>
      <c r="C43" s="213"/>
      <c r="D43" s="213"/>
      <c r="E43" s="213"/>
      <c r="F43" s="213"/>
      <c r="G43" s="213"/>
      <c r="H43" s="213"/>
    </row>
    <row r="44" spans="2:14" x14ac:dyDescent="0.25">
      <c r="B44" s="213"/>
      <c r="C44" s="213"/>
      <c r="D44" s="213"/>
      <c r="E44" s="213"/>
      <c r="F44" s="213"/>
      <c r="G44" s="213"/>
      <c r="H44" s="213"/>
    </row>
    <row r="45" spans="2:14" x14ac:dyDescent="0.25">
      <c r="B45" s="66"/>
      <c r="C45" s="67">
        <f t="shared" ref="C45:H45" si="1">C4</f>
        <v>43891</v>
      </c>
      <c r="D45" s="67">
        <f t="shared" si="1"/>
        <v>44256</v>
      </c>
      <c r="E45" s="67">
        <f t="shared" si="1"/>
        <v>44621</v>
      </c>
      <c r="F45" s="67">
        <f t="shared" si="1"/>
        <v>44986</v>
      </c>
      <c r="G45" s="67">
        <f t="shared" si="1"/>
        <v>45352</v>
      </c>
      <c r="H45" s="67">
        <f t="shared" si="1"/>
        <v>45717</v>
      </c>
    </row>
    <row r="46" spans="2:14" s="26" customFormat="1" x14ac:dyDescent="0.25">
      <c r="B46" s="27"/>
      <c r="C46" s="28"/>
      <c r="D46" s="28"/>
      <c r="E46" s="28"/>
      <c r="F46" s="28"/>
      <c r="G46" s="28"/>
      <c r="H46" s="28"/>
    </row>
    <row r="47" spans="2:14" x14ac:dyDescent="0.25">
      <c r="B47" s="84" t="s">
        <v>233</v>
      </c>
      <c r="C47" s="70"/>
      <c r="D47" s="70"/>
      <c r="E47" s="70"/>
      <c r="F47" s="70"/>
      <c r="G47" s="70"/>
      <c r="H47" s="70"/>
      <c r="I47" s="36"/>
      <c r="J47" s="36"/>
      <c r="K47" s="36"/>
      <c r="L47" s="36"/>
      <c r="M47" s="36"/>
      <c r="N47" s="36"/>
    </row>
    <row r="48" spans="2:14" x14ac:dyDescent="0.25">
      <c r="B48" s="69" t="s">
        <v>128</v>
      </c>
      <c r="C48" s="70">
        <v>2236</v>
      </c>
      <c r="D48" s="70">
        <v>1912</v>
      </c>
      <c r="E48" s="70">
        <v>2172</v>
      </c>
      <c r="F48" s="70">
        <v>3527</v>
      </c>
      <c r="G48" s="70">
        <v>4404</v>
      </c>
      <c r="H48" s="70">
        <v>4849</v>
      </c>
      <c r="I48" s="36"/>
      <c r="J48" s="36"/>
      <c r="K48" s="36"/>
      <c r="L48" s="36"/>
      <c r="M48" s="36"/>
      <c r="N48" s="36"/>
    </row>
    <row r="49" spans="2:14" x14ac:dyDescent="0.25">
      <c r="B49" s="69" t="s">
        <v>78</v>
      </c>
      <c r="C49" s="69">
        <v>0</v>
      </c>
      <c r="D49" s="69">
        <v>-73</v>
      </c>
      <c r="E49" s="69">
        <v>-147</v>
      </c>
      <c r="F49" s="69">
        <v>-59</v>
      </c>
      <c r="G49" s="69">
        <v>-5</v>
      </c>
      <c r="H49" s="69">
        <v>-176</v>
      </c>
    </row>
    <row r="50" spans="2:14" x14ac:dyDescent="0.25">
      <c r="B50" s="69" t="s">
        <v>45</v>
      </c>
      <c r="C50" s="69">
        <v>61</v>
      </c>
      <c r="D50" s="69">
        <v>-302</v>
      </c>
      <c r="E50" s="69">
        <v>-258</v>
      </c>
      <c r="F50" s="69">
        <v>-146</v>
      </c>
      <c r="G50" s="69">
        <v>-131</v>
      </c>
      <c r="H50" s="69">
        <v>-154</v>
      </c>
    </row>
    <row r="51" spans="2:14" x14ac:dyDescent="0.25">
      <c r="B51" s="69" t="s">
        <v>129</v>
      </c>
      <c r="C51" s="69">
        <v>-235</v>
      </c>
      <c r="D51" s="69">
        <v>495</v>
      </c>
      <c r="E51" s="69">
        <v>283</v>
      </c>
      <c r="F51" s="69">
        <v>22</v>
      </c>
      <c r="G51" s="69">
        <v>304</v>
      </c>
      <c r="H51" s="69">
        <v>440</v>
      </c>
    </row>
    <row r="52" spans="2:14" x14ac:dyDescent="0.25">
      <c r="B52" s="69" t="s">
        <v>130</v>
      </c>
      <c r="C52" s="69">
        <v>1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</row>
    <row r="53" spans="2:14" x14ac:dyDescent="0.25">
      <c r="B53" s="69" t="s">
        <v>131</v>
      </c>
      <c r="C53" s="69">
        <v>259</v>
      </c>
      <c r="D53" s="69">
        <v>115</v>
      </c>
      <c r="E53" s="69">
        <v>-10</v>
      </c>
      <c r="F53" s="69">
        <v>249</v>
      </c>
      <c r="G53" s="69">
        <v>220</v>
      </c>
      <c r="H53" s="69">
        <v>101</v>
      </c>
    </row>
    <row r="54" spans="2:14" x14ac:dyDescent="0.25">
      <c r="B54" s="69" t="s">
        <v>132</v>
      </c>
      <c r="C54" s="69">
        <v>86</v>
      </c>
      <c r="D54" s="69">
        <v>235</v>
      </c>
      <c r="E54" s="69">
        <v>-131</v>
      </c>
      <c r="F54" s="69">
        <v>66</v>
      </c>
      <c r="G54" s="69">
        <v>388</v>
      </c>
      <c r="H54" s="69">
        <v>211</v>
      </c>
    </row>
    <row r="55" spans="2:14" x14ac:dyDescent="0.25">
      <c r="B55" s="88" t="s">
        <v>133</v>
      </c>
      <c r="C55" s="88">
        <v>-628</v>
      </c>
      <c r="D55" s="88">
        <v>-457</v>
      </c>
      <c r="E55" s="88">
        <v>-514</v>
      </c>
      <c r="F55" s="88">
        <v>-770</v>
      </c>
      <c r="G55" s="89">
        <v>-1068</v>
      </c>
      <c r="H55" s="89">
        <v>-1080</v>
      </c>
      <c r="M55" s="36"/>
      <c r="N55" s="36"/>
    </row>
    <row r="56" spans="2:14" ht="15.75" thickBot="1" x14ac:dyDescent="0.3">
      <c r="B56" s="80" t="s">
        <v>127</v>
      </c>
      <c r="C56" s="90">
        <f>SUM(C48:C55)</f>
        <v>1780</v>
      </c>
      <c r="D56" s="90">
        <f t="shared" ref="D56:H56" si="2">SUM(D48:D55)</f>
        <v>1925</v>
      </c>
      <c r="E56" s="90">
        <f t="shared" si="2"/>
        <v>1395</v>
      </c>
      <c r="F56" s="90">
        <f t="shared" si="2"/>
        <v>2889</v>
      </c>
      <c r="G56" s="90">
        <f t="shared" si="2"/>
        <v>4112</v>
      </c>
      <c r="H56" s="90">
        <f t="shared" si="2"/>
        <v>4191</v>
      </c>
      <c r="M56" s="36"/>
      <c r="N56" s="36"/>
    </row>
    <row r="57" spans="2:14" x14ac:dyDescent="0.25">
      <c r="G57" s="36"/>
      <c r="H57" s="36"/>
      <c r="M57" s="36"/>
      <c r="N57" s="36"/>
    </row>
    <row r="58" spans="2:14" x14ac:dyDescent="0.25">
      <c r="B58" s="84" t="s">
        <v>234</v>
      </c>
      <c r="C58" s="70"/>
      <c r="D58" s="70"/>
      <c r="E58" s="69"/>
      <c r="F58" s="70"/>
      <c r="G58" s="70"/>
      <c r="H58" s="70"/>
      <c r="I58" s="36"/>
      <c r="J58" s="36"/>
      <c r="L58" s="36"/>
      <c r="M58" s="36"/>
      <c r="N58" s="36"/>
    </row>
    <row r="59" spans="2:14" x14ac:dyDescent="0.25">
      <c r="B59" s="69" t="s">
        <v>135</v>
      </c>
      <c r="C59" s="69">
        <v>-546</v>
      </c>
      <c r="D59" s="69">
        <v>-532</v>
      </c>
      <c r="E59" s="69">
        <v>-641</v>
      </c>
      <c r="F59" s="69">
        <v>-682</v>
      </c>
      <c r="G59" s="69">
        <v>-819</v>
      </c>
      <c r="H59" s="70">
        <v>-1039</v>
      </c>
      <c r="N59" s="36"/>
    </row>
    <row r="60" spans="2:14" x14ac:dyDescent="0.25">
      <c r="B60" s="69" t="s">
        <v>136</v>
      </c>
      <c r="C60" s="69">
        <v>1</v>
      </c>
      <c r="D60" s="69">
        <v>17</v>
      </c>
      <c r="E60" s="69">
        <v>2</v>
      </c>
      <c r="F60" s="69">
        <v>9</v>
      </c>
      <c r="G60" s="69">
        <v>4</v>
      </c>
      <c r="H60" s="69">
        <v>11</v>
      </c>
    </row>
    <row r="61" spans="2:14" x14ac:dyDescent="0.25">
      <c r="B61" s="69" t="s">
        <v>137</v>
      </c>
      <c r="C61" s="70">
        <v>-8746</v>
      </c>
      <c r="D61" s="70">
        <v>-3983</v>
      </c>
      <c r="E61" s="70">
        <v>-7134</v>
      </c>
      <c r="F61" s="70">
        <v>-9103</v>
      </c>
      <c r="G61" s="70">
        <v>-6106</v>
      </c>
      <c r="H61" s="70">
        <v>-6939</v>
      </c>
      <c r="I61" s="36"/>
      <c r="J61" s="36"/>
      <c r="K61" s="36"/>
      <c r="L61" s="36"/>
      <c r="M61" s="36"/>
      <c r="N61" s="36"/>
    </row>
    <row r="62" spans="2:14" x14ac:dyDescent="0.25">
      <c r="B62" s="69" t="s">
        <v>138</v>
      </c>
      <c r="C62" s="70">
        <v>8176</v>
      </c>
      <c r="D62" s="70">
        <v>5971</v>
      </c>
      <c r="E62" s="70">
        <v>3500</v>
      </c>
      <c r="F62" s="70">
        <v>5080</v>
      </c>
      <c r="G62" s="70">
        <v>5968</v>
      </c>
      <c r="H62" s="70">
        <v>6826</v>
      </c>
      <c r="I62" s="36"/>
      <c r="J62" s="36"/>
      <c r="K62" s="36"/>
      <c r="L62" s="36"/>
      <c r="M62" s="36"/>
      <c r="N62" s="36"/>
    </row>
    <row r="63" spans="2:14" x14ac:dyDescent="0.25">
      <c r="B63" s="69" t="s">
        <v>139</v>
      </c>
      <c r="C63" s="69">
        <v>204</v>
      </c>
      <c r="D63" s="69">
        <v>192</v>
      </c>
      <c r="E63" s="69">
        <v>398</v>
      </c>
      <c r="F63" s="69">
        <v>204</v>
      </c>
      <c r="G63" s="69">
        <v>112</v>
      </c>
      <c r="H63" s="69">
        <v>188</v>
      </c>
    </row>
    <row r="64" spans="2:14" x14ac:dyDescent="0.25">
      <c r="B64" s="69" t="s">
        <v>140</v>
      </c>
      <c r="C64" s="69">
        <v>68</v>
      </c>
      <c r="D64" s="69">
        <v>0</v>
      </c>
      <c r="E64" s="69">
        <v>27</v>
      </c>
      <c r="F64" s="69">
        <v>41</v>
      </c>
      <c r="G64" s="69">
        <v>95</v>
      </c>
      <c r="H64" s="69">
        <v>136</v>
      </c>
    </row>
    <row r="65" spans="2:14" x14ac:dyDescent="0.25">
      <c r="B65" s="69" t="s">
        <v>141</v>
      </c>
      <c r="C65" s="69">
        <v>-1</v>
      </c>
      <c r="D65" s="69">
        <v>0</v>
      </c>
      <c r="E65" s="69">
        <v>0</v>
      </c>
      <c r="F65" s="69">
        <v>0</v>
      </c>
      <c r="G65" s="69">
        <v>0</v>
      </c>
      <c r="H65" s="69">
        <v>0</v>
      </c>
    </row>
    <row r="66" spans="2:14" x14ac:dyDescent="0.25">
      <c r="B66" s="88" t="s">
        <v>142</v>
      </c>
      <c r="C66" s="88">
        <v>-665</v>
      </c>
      <c r="D66" s="89">
        <v>-3290</v>
      </c>
      <c r="E66" s="89">
        <v>2864</v>
      </c>
      <c r="F66" s="89">
        <v>2055</v>
      </c>
      <c r="G66" s="89">
        <v>-2089</v>
      </c>
      <c r="H66" s="89">
        <v>-1643</v>
      </c>
      <c r="J66" s="36"/>
      <c r="K66" s="36"/>
      <c r="L66" s="36"/>
      <c r="M66" s="36"/>
      <c r="N66" s="36"/>
    </row>
    <row r="67" spans="2:14" ht="15.75" thickBot="1" x14ac:dyDescent="0.3">
      <c r="B67" s="80" t="s">
        <v>134</v>
      </c>
      <c r="C67" s="80">
        <f>SUM(C59:C66)</f>
        <v>-1509</v>
      </c>
      <c r="D67" s="80">
        <f t="shared" ref="D67:H67" si="3">SUM(D59:D66)</f>
        <v>-1625</v>
      </c>
      <c r="E67" s="80">
        <f t="shared" si="3"/>
        <v>-984</v>
      </c>
      <c r="F67" s="80">
        <f t="shared" si="3"/>
        <v>-2396</v>
      </c>
      <c r="G67" s="80">
        <f t="shared" si="3"/>
        <v>-2835</v>
      </c>
      <c r="H67" s="80">
        <f t="shared" si="3"/>
        <v>-2460</v>
      </c>
      <c r="J67" s="36"/>
      <c r="K67" s="36"/>
      <c r="L67" s="36"/>
      <c r="M67" s="36"/>
      <c r="N67" s="36"/>
    </row>
    <row r="68" spans="2:14" x14ac:dyDescent="0.25">
      <c r="D68" s="36"/>
      <c r="E68" s="36"/>
      <c r="F68" s="36"/>
      <c r="G68" s="36"/>
      <c r="H68" s="36"/>
      <c r="J68" s="36"/>
      <c r="K68" s="36"/>
      <c r="L68" s="36"/>
      <c r="M68" s="36"/>
      <c r="N68" s="36"/>
    </row>
    <row r="69" spans="2:14" x14ac:dyDescent="0.25">
      <c r="B69" s="84" t="s">
        <v>235</v>
      </c>
      <c r="C69" s="69"/>
      <c r="D69" s="69"/>
      <c r="E69" s="69"/>
      <c r="F69" s="69"/>
      <c r="G69" s="69"/>
      <c r="H69" s="70"/>
      <c r="N69" s="36"/>
    </row>
    <row r="70" spans="2:14" x14ac:dyDescent="0.25">
      <c r="B70" s="69" t="s">
        <v>144</v>
      </c>
      <c r="C70" s="69">
        <v>29</v>
      </c>
      <c r="D70" s="69">
        <v>38</v>
      </c>
      <c r="E70" s="69">
        <v>6</v>
      </c>
      <c r="F70" s="69">
        <v>11</v>
      </c>
      <c r="G70" s="69">
        <v>47</v>
      </c>
      <c r="H70" s="69">
        <v>97</v>
      </c>
    </row>
    <row r="71" spans="2:14" x14ac:dyDescent="0.25">
      <c r="B71" s="69" t="s">
        <v>145</v>
      </c>
      <c r="C71" s="69">
        <v>267</v>
      </c>
      <c r="D71" s="69">
        <v>40</v>
      </c>
      <c r="E71" s="69">
        <v>32</v>
      </c>
      <c r="F71" s="69">
        <v>202</v>
      </c>
      <c r="G71" s="69">
        <v>322</v>
      </c>
      <c r="H71" s="69">
        <v>38</v>
      </c>
    </row>
    <row r="72" spans="2:14" x14ac:dyDescent="0.25">
      <c r="B72" s="69" t="s">
        <v>146</v>
      </c>
      <c r="C72" s="69">
        <v>-298</v>
      </c>
      <c r="D72" s="69">
        <v>-27</v>
      </c>
      <c r="E72" s="69">
        <v>-137</v>
      </c>
      <c r="F72" s="69">
        <v>-20</v>
      </c>
      <c r="G72" s="69">
        <v>-127</v>
      </c>
      <c r="H72" s="69">
        <v>-43</v>
      </c>
    </row>
    <row r="73" spans="2:14" x14ac:dyDescent="0.25">
      <c r="B73" s="69" t="s">
        <v>147</v>
      </c>
      <c r="C73" s="69">
        <v>-8</v>
      </c>
      <c r="D73" s="69">
        <v>-16</v>
      </c>
      <c r="E73" s="69">
        <v>-19</v>
      </c>
      <c r="F73" s="69">
        <v>-18</v>
      </c>
      <c r="G73" s="69">
        <v>-35</v>
      </c>
      <c r="H73" s="69">
        <v>-37</v>
      </c>
    </row>
    <row r="74" spans="2:14" x14ac:dyDescent="0.25">
      <c r="B74" s="69" t="s">
        <v>148</v>
      </c>
      <c r="C74" s="69">
        <v>-682</v>
      </c>
      <c r="D74" s="69">
        <v>0</v>
      </c>
      <c r="E74" s="69">
        <v>-465</v>
      </c>
      <c r="F74" s="69">
        <v>-574</v>
      </c>
      <c r="G74" s="70">
        <v>-1013</v>
      </c>
      <c r="H74" s="70">
        <v>-1397</v>
      </c>
      <c r="M74" s="36"/>
      <c r="N74" s="36"/>
    </row>
    <row r="75" spans="2:14" x14ac:dyDescent="0.25">
      <c r="B75" s="69" t="s">
        <v>149</v>
      </c>
      <c r="C75" s="69">
        <v>-40</v>
      </c>
      <c r="D75" s="69">
        <v>-39</v>
      </c>
      <c r="E75" s="69">
        <v>-17</v>
      </c>
      <c r="F75" s="69">
        <v>-19</v>
      </c>
      <c r="G75" s="69">
        <v>-37</v>
      </c>
      <c r="H75" s="69">
        <v>-56</v>
      </c>
    </row>
    <row r="76" spans="2:14" x14ac:dyDescent="0.25">
      <c r="B76" s="69" t="s">
        <v>150</v>
      </c>
      <c r="C76" s="69">
        <v>-126</v>
      </c>
      <c r="D76" s="69">
        <v>-11</v>
      </c>
      <c r="E76" s="69">
        <v>5</v>
      </c>
      <c r="F76" s="69">
        <v>0</v>
      </c>
      <c r="G76" s="69">
        <v>0</v>
      </c>
      <c r="H76" s="69">
        <v>0</v>
      </c>
    </row>
    <row r="77" spans="2:14" ht="15.75" thickBot="1" x14ac:dyDescent="0.3">
      <c r="B77" s="80" t="s">
        <v>143</v>
      </c>
      <c r="C77" s="80">
        <f t="shared" ref="C77:H77" si="4">SUM(C70:C76)</f>
        <v>-858</v>
      </c>
      <c r="D77" s="80">
        <f t="shared" si="4"/>
        <v>-15</v>
      </c>
      <c r="E77" s="80">
        <f t="shared" si="4"/>
        <v>-595</v>
      </c>
      <c r="F77" s="80">
        <f t="shared" si="4"/>
        <v>-418</v>
      </c>
      <c r="G77" s="80">
        <f t="shared" si="4"/>
        <v>-843</v>
      </c>
      <c r="H77" s="80">
        <f t="shared" si="4"/>
        <v>-1398</v>
      </c>
    </row>
    <row r="79" spans="2:14" ht="15.75" thickBot="1" x14ac:dyDescent="0.3">
      <c r="B79" s="93" t="s">
        <v>35</v>
      </c>
      <c r="C79" s="94">
        <f>C77+C67+C56</f>
        <v>-587</v>
      </c>
      <c r="D79" s="94">
        <f t="shared" ref="D79:H79" si="5">D77+D67+D56</f>
        <v>285</v>
      </c>
      <c r="E79" s="94">
        <f t="shared" si="5"/>
        <v>-184</v>
      </c>
      <c r="F79" s="94">
        <f t="shared" si="5"/>
        <v>75</v>
      </c>
      <c r="G79" s="94">
        <f t="shared" si="5"/>
        <v>434</v>
      </c>
      <c r="H79" s="94">
        <f t="shared" si="5"/>
        <v>333</v>
      </c>
    </row>
    <row r="80" spans="2:14" ht="15.75" thickTop="1" x14ac:dyDescent="0.25"/>
  </sheetData>
  <sheetProtection algorithmName="SHA-512" hashValue="vaAqaXV36egcwBMB5e9j+W01jjGamAq8fsE3Cb5QJnkXG82WlSiaLfacFW8JcPOxAm+HxRKlZ7Cw6qwDbUfnsQ==" saltValue="X0cdrZL5WOXAPh5nANz4jw==" spinCount="100000" sheet="1" objects="1" scenarios="1"/>
  <mergeCells count="2">
    <mergeCell ref="B1:H2"/>
    <mergeCell ref="B43:H4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BE9B-5F02-4995-9BC0-122FD1C03D13}">
  <dimension ref="B2:O40"/>
  <sheetViews>
    <sheetView showGridLines="0" topLeftCell="A22" workbookViewId="0">
      <selection activeCell="C42" sqref="C42"/>
    </sheetView>
  </sheetViews>
  <sheetFormatPr defaultRowHeight="15" x14ac:dyDescent="0.25"/>
  <cols>
    <col min="1" max="1" width="1.85546875" style="40" customWidth="1"/>
    <col min="2" max="2" width="26.28515625" style="40" customWidth="1"/>
    <col min="3" max="11" width="8.85546875" style="40" customWidth="1"/>
    <col min="12" max="12" width="8.28515625" style="40" customWidth="1"/>
    <col min="13" max="13" width="14.5703125" style="40" customWidth="1"/>
    <col min="14" max="15" width="7.85546875" style="40" customWidth="1"/>
    <col min="16" max="16384" width="9.140625" style="40"/>
  </cols>
  <sheetData>
    <row r="2" spans="2:15" ht="15" customHeight="1" x14ac:dyDescent="0.25">
      <c r="B2" s="216" t="str">
        <f>"Historical Financial Statement - "&amp;'Data Sheet'!B1&amp;"  - "&amp;"Ratio Analysis"</f>
        <v>Historical Financial Statement - EICHER MOTORS LTD  - Ratio Analysis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</row>
    <row r="3" spans="2:15" x14ac:dyDescent="0.25">
      <c r="B3" s="184" t="s">
        <v>93</v>
      </c>
      <c r="C3" s="185">
        <f>'Data Sheet'!B16</f>
        <v>42460</v>
      </c>
      <c r="D3" s="185">
        <f>'Data Sheet'!C16</f>
        <v>42825</v>
      </c>
      <c r="E3" s="185">
        <f>'Data Sheet'!D16</f>
        <v>43190</v>
      </c>
      <c r="F3" s="185">
        <f>'Data Sheet'!E16</f>
        <v>43555</v>
      </c>
      <c r="G3" s="185">
        <f>'Data Sheet'!F16</f>
        <v>43921</v>
      </c>
      <c r="H3" s="185">
        <f>'Data Sheet'!G16</f>
        <v>44286</v>
      </c>
      <c r="I3" s="185">
        <f>'Data Sheet'!H16</f>
        <v>44651</v>
      </c>
      <c r="J3" s="185">
        <f>'Data Sheet'!I16</f>
        <v>45016</v>
      </c>
      <c r="K3" s="185">
        <f>'Data Sheet'!J16</f>
        <v>45382</v>
      </c>
      <c r="L3" s="185">
        <f>'Data Sheet'!K16</f>
        <v>45747</v>
      </c>
      <c r="M3" s="186" t="s">
        <v>184</v>
      </c>
      <c r="N3" s="186" t="s">
        <v>185</v>
      </c>
      <c r="O3" s="186" t="s">
        <v>186</v>
      </c>
    </row>
    <row r="4" spans="2:15" ht="17.25" customHeight="1" x14ac:dyDescent="0.25"/>
    <row r="5" spans="2:15" ht="14.25" customHeight="1" x14ac:dyDescent="0.25">
      <c r="B5" s="41" t="s">
        <v>22</v>
      </c>
      <c r="C5" s="41"/>
      <c r="D5" s="42">
        <f>IFERROR(HistoricalIFS!D6/HistoricalIFS!C6-1,0)</f>
        <v>0.13928979858944568</v>
      </c>
      <c r="E5" s="42">
        <f>IFERROR(HistoricalIFS!E6/HistoricalIFS!D6-1,0)</f>
        <v>0.27463402982358365</v>
      </c>
      <c r="F5" s="42">
        <f>IFERROR(HistoricalIFS!F6/HistoricalIFS!E6-1,0)</f>
        <v>9.2816922774892507E-2</v>
      </c>
      <c r="G5" s="42">
        <f>IFERROR(HistoricalIFS!G6/HistoricalIFS!F6-1,0)</f>
        <v>-6.568092876842635E-2</v>
      </c>
      <c r="H5" s="42">
        <f>IFERROR(HistoricalIFS!H6/HistoricalIFS!G6-1,0)</f>
        <v>-4.732902318000165E-2</v>
      </c>
      <c r="I5" s="42">
        <f>IFERROR(HistoricalIFS!I6/HistoricalIFS!H6-1,0)</f>
        <v>0.18089640897441028</v>
      </c>
      <c r="J5" s="42">
        <f>IFERROR(HistoricalIFS!J6/HistoricalIFS!I6-1,0)</f>
        <v>0.40244886544058311</v>
      </c>
      <c r="K5" s="42">
        <f>IFERROR(HistoricalIFS!K6/HistoricalIFS!J6-1,0)</f>
        <v>0.14496426439775711</v>
      </c>
      <c r="L5" s="42">
        <f>IFERROR(HistoricalIFS!L6/HistoricalIFS!K6-1,0)</f>
        <v>0.14118293784750402</v>
      </c>
      <c r="M5" s="51"/>
      <c r="N5" s="52">
        <f>AVERAGE(C5:L5)</f>
        <v>0.14035814176663872</v>
      </c>
      <c r="O5" s="52">
        <f>MEDIAN(C5:L5)</f>
        <v>0.14118293784750402</v>
      </c>
    </row>
    <row r="6" spans="2:15" ht="14.25" customHeight="1" x14ac:dyDescent="0.25">
      <c r="B6" s="40" t="s">
        <v>158</v>
      </c>
      <c r="D6" s="43">
        <f>IFERROR(HistoricalIFS!D17/HistoricalIFS!C17-1,0)</f>
        <v>0.2867795446609811</v>
      </c>
      <c r="E6" s="43">
        <f>IFERROR(HistoricalIFS!E17/HistoricalIFS!D17-1,0)</f>
        <v>0.29173392938449427</v>
      </c>
      <c r="F6" s="43">
        <f>IFERROR(HistoricalIFS!F17/HistoricalIFS!E17-1,0)</f>
        <v>3.4041507781373825E-2</v>
      </c>
      <c r="G6" s="43">
        <f>IFERROR(HistoricalIFS!G17/HistoricalIFS!F17-1,0)</f>
        <v>-0.24837823320386709</v>
      </c>
      <c r="H6" s="43">
        <f>IFERROR(HistoricalIFS!H17/HistoricalIFS!G17-1,0)</f>
        <v>-0.18308755823701617</v>
      </c>
      <c r="I6" s="43">
        <f>IFERROR(HistoricalIFS!I17/HistoricalIFS!H17-1,0)</f>
        <v>0.22113804725133623</v>
      </c>
      <c r="J6" s="43">
        <f>IFERROR(HistoricalIFS!J17/HistoricalIFS!I17-1,0)</f>
        <v>0.58236933829911353</v>
      </c>
      <c r="K6" s="43">
        <f>IFERROR(HistoricalIFS!K17/HistoricalIFS!J17-1,0)</f>
        <v>0.25644857968726309</v>
      </c>
      <c r="L6" s="43">
        <f>IFERROR(HistoricalIFS!L17/HistoricalIFS!K17-1,0)</f>
        <v>9.0821528305504273E-2</v>
      </c>
      <c r="M6"/>
      <c r="N6" s="53">
        <f t="shared" ref="N6:N40" si="0">AVERAGE(C6:L6)</f>
        <v>0.14798518710324257</v>
      </c>
      <c r="O6" s="53">
        <f t="shared" ref="O6:O40" si="1">MEDIAN(C6:L6)</f>
        <v>0.22113804725133623</v>
      </c>
    </row>
    <row r="7" spans="2:15" ht="14.25" customHeight="1" x14ac:dyDescent="0.25">
      <c r="B7" s="40" t="s">
        <v>159</v>
      </c>
      <c r="D7" s="43">
        <f>IFERROR(HistoricalIFS!D29/HistoricalIFS!C29-1,0)</f>
        <v>0.30040425271274818</v>
      </c>
      <c r="E7" s="43">
        <f>IFERROR(HistoricalIFS!E29/HistoricalIFS!D29-1,0)</f>
        <v>0.279160510476266</v>
      </c>
      <c r="F7" s="43">
        <f>IFERROR(HistoricalIFS!F29/HistoricalIFS!E29-1,0)</f>
        <v>6.4496374016951297E-3</v>
      </c>
      <c r="G7" s="43">
        <f>IFERROR(HistoricalIFS!G29/HistoricalIFS!F29-1,0)</f>
        <v>-0.31354486391977254</v>
      </c>
      <c r="H7" s="43">
        <f>IFERROR(HistoricalIFS!H29/HistoricalIFS!G29-1,0)</f>
        <v>-0.26167060315180635</v>
      </c>
      <c r="I7" s="43">
        <f>IFERROR(HistoricalIFS!I29/HistoricalIFS!H29-1,0)</f>
        <v>0.29695680255309465</v>
      </c>
      <c r="J7" s="43">
        <f>IFERROR(HistoricalIFS!J29/HistoricalIFS!I29-1,0)</f>
        <v>0.69404051884747453</v>
      </c>
      <c r="K7" s="43">
        <f>IFERROR(HistoricalIFS!K29/HistoricalIFS!J29-1,0)</f>
        <v>0.27300803392022677</v>
      </c>
      <c r="L7" s="43">
        <f>IFERROR(HistoricalIFS!L29/HistoricalIFS!K29-1,0)</f>
        <v>7.0094460850500973E-2</v>
      </c>
      <c r="M7"/>
      <c r="N7" s="53">
        <f t="shared" si="0"/>
        <v>0.14943319441004749</v>
      </c>
      <c r="O7" s="53">
        <f t="shared" si="1"/>
        <v>0.27300803392022677</v>
      </c>
    </row>
    <row r="8" spans="2:15" ht="14.25" customHeight="1" x14ac:dyDescent="0.25">
      <c r="B8" s="40" t="s">
        <v>160</v>
      </c>
      <c r="D8" s="43">
        <f>IFERROR(HistoricalIFS!D38/HistoricalIFS!C38-1,0)</f>
        <v>0.28029057427281678</v>
      </c>
      <c r="E8" s="43">
        <f>IFERROR(HistoricalIFS!E38/HistoricalIFS!D38-1,0)</f>
        <v>0.27239825343825141</v>
      </c>
      <c r="F8" s="43">
        <f>IFERROR(HistoricalIFS!F38/HistoricalIFS!E38-1,0)</f>
        <v>1.8594131356320709E-2</v>
      </c>
      <c r="G8" s="43">
        <f>IFERROR(HistoricalIFS!G38/HistoricalIFS!F38-1,0)</f>
        <v>-0.17692151784708865</v>
      </c>
      <c r="H8" s="43">
        <f>IFERROR(HistoricalIFS!H38/HistoricalIFS!G38-1,0)</f>
        <v>-0.26296348990938156</v>
      </c>
      <c r="I8" s="43">
        <f>IFERROR(HistoricalIFS!I38/HistoricalIFS!H38-1,0)</f>
        <v>0.24479356146381703</v>
      </c>
      <c r="J8" s="43">
        <f>IFERROR(HistoricalIFS!J38/HistoricalIFS!I38-1,0)</f>
        <v>0.73800548729571736</v>
      </c>
      <c r="K8" s="43">
        <f>IFERROR(HistoricalIFS!K38/HistoricalIFS!J38-1,0)</f>
        <v>0.37305847066171438</v>
      </c>
      <c r="L8" s="43">
        <f>IFERROR(HistoricalIFS!L38/HistoricalIFS!K38-1,0)</f>
        <v>0.18331121391848604</v>
      </c>
      <c r="M8"/>
      <c r="N8" s="53">
        <f t="shared" si="0"/>
        <v>0.18561852051673927</v>
      </c>
      <c r="O8" s="53">
        <f t="shared" si="1"/>
        <v>0.24479356146381703</v>
      </c>
    </row>
    <row r="9" spans="2:15" ht="14.25" customHeight="1" x14ac:dyDescent="0.25">
      <c r="B9" s="44" t="s">
        <v>161</v>
      </c>
      <c r="C9" s="44"/>
      <c r="D9" s="45">
        <f>IFERROR(HistoricalIFS!D46/HistoricalIFS!C46-1,0)</f>
        <v>1.8409425625920406E-3</v>
      </c>
      <c r="E9" s="45">
        <f>IFERROR(HistoricalIFS!E46/HistoricalIFS!D46-1,0)</f>
        <v>0.10202131569276007</v>
      </c>
      <c r="F9" s="45">
        <f>IFERROR(HistoricalIFS!F46/HistoricalIFS!E46-1,0)</f>
        <v>0.13719735876742467</v>
      </c>
      <c r="G9" s="45">
        <f>IFERROR(HistoricalIFS!G46/HistoricalIFS!F46-1,0)</f>
        <v>7.3313782991202281E-4</v>
      </c>
      <c r="H9" s="45">
        <f>IFERROR(HistoricalIFS!H46/HistoricalIFS!G46-1,0)</f>
        <v>0.36149450549450557</v>
      </c>
      <c r="I9" s="45">
        <f>IFERROR(HistoricalIFS!I46/HistoricalIFS!H46-1,0)</f>
        <v>0.23574610964034348</v>
      </c>
      <c r="J9" s="45">
        <f>IFERROR(HistoricalIFS!J46/HistoricalIFS!I46-1,0)</f>
        <v>0.76254920402689241</v>
      </c>
      <c r="K9" s="45">
        <f>IFERROR(HistoricalIFS!K46/HistoricalIFS!J46-1,0)</f>
        <v>0.37989031078610602</v>
      </c>
      <c r="L9" s="45">
        <f>IFERROR(HistoricalIFS!L46/HistoricalIFS!K46-1,0)</f>
        <v>0.37455420444291665</v>
      </c>
      <c r="M9" s="54"/>
      <c r="N9" s="55">
        <f t="shared" si="0"/>
        <v>0.26178078769371699</v>
      </c>
      <c r="O9" s="55">
        <f t="shared" si="1"/>
        <v>0.23574610964034348</v>
      </c>
    </row>
    <row r="10" spans="2:15" ht="14.25" customHeight="1" x14ac:dyDescent="0.25">
      <c r="N10" s="47"/>
      <c r="O10" s="47"/>
    </row>
    <row r="11" spans="2:15" ht="16.5" customHeight="1" x14ac:dyDescent="0.25">
      <c r="B11" s="41" t="s">
        <v>101</v>
      </c>
      <c r="C11" s="42">
        <f>IFERROR(HistoricalIFS!C13,0)</f>
        <v>0.351120765340668</v>
      </c>
      <c r="D11" s="42">
        <f>IFERROR(HistoricalIFS!D13,0)</f>
        <v>0.3813056632960633</v>
      </c>
      <c r="E11" s="42">
        <f>IFERROR(HistoricalIFS!E13,0)</f>
        <v>0.3885025700058895</v>
      </c>
      <c r="F11" s="42">
        <f>IFERROR(HistoricalIFS!F13,0)</f>
        <v>0.37814303474715871</v>
      </c>
      <c r="G11" s="42">
        <f>IFERROR(HistoricalIFS!G13,0)</f>
        <v>0.33207663012722899</v>
      </c>
      <c r="H11" s="42">
        <f>IFERROR(HistoricalIFS!H13,0)</f>
        <v>0.28202308393585118</v>
      </c>
      <c r="I11" s="42">
        <f>IFERROR(HistoricalIFS!I13,0)</f>
        <v>0.30394073314474995</v>
      </c>
      <c r="J11" s="42">
        <f>IFERROR(HistoricalIFS!J13,0)</f>
        <v>0.32905558579106481</v>
      </c>
      <c r="K11" s="42">
        <f>IFERROR(HistoricalIFS!K13,0)</f>
        <v>0.35285907287107099</v>
      </c>
      <c r="L11" s="42">
        <f>IFERROR(HistoricalIFS!L13,0)</f>
        <v>0.35130455979883779</v>
      </c>
      <c r="M11" s="41"/>
      <c r="N11" s="52">
        <f t="shared" si="0"/>
        <v>0.34503316990585831</v>
      </c>
      <c r="O11" s="52">
        <f t="shared" si="1"/>
        <v>0.35121266256975292</v>
      </c>
    </row>
    <row r="12" spans="2:15" ht="16.5" customHeight="1" x14ac:dyDescent="0.25">
      <c r="B12" s="40" t="s">
        <v>162</v>
      </c>
      <c r="C12" s="43">
        <f>IFERROR(HistoricalIFS!C18,0)</f>
        <v>0.27370874679677198</v>
      </c>
      <c r="D12" s="43">
        <f>IFERROR(HistoricalIFS!D18,0)</f>
        <v>0.30914242979173534</v>
      </c>
      <c r="E12" s="43">
        <f>IFERROR(HistoricalIFS!E18,0)</f>
        <v>0.31328974139315729</v>
      </c>
      <c r="F12" s="43">
        <f>IFERROR(HistoricalIFS!F18,0)</f>
        <v>0.29643995239388132</v>
      </c>
      <c r="G12" s="43">
        <f>IFERROR(HistoricalIFS!G18,0)</f>
        <v>0.23847390856910633</v>
      </c>
      <c r="H12" s="43">
        <f>IFERROR(HistoricalIFS!H18,0)</f>
        <v>0.20449064544427689</v>
      </c>
      <c r="I12" s="43">
        <f>IFERROR(HistoricalIFS!I18,0)</f>
        <v>0.21145911323065153</v>
      </c>
      <c r="J12" s="43">
        <f>IFERROR(HistoricalIFS!J18,0)</f>
        <v>0.23858724929338926</v>
      </c>
      <c r="K12" s="43">
        <f>IFERROR(HistoricalIFS!K18,0)</f>
        <v>0.26181831156437724</v>
      </c>
      <c r="L12" s="43">
        <f>IFERROR(HistoricalIFS!L18,0)</f>
        <v>0.25026403855784329</v>
      </c>
      <c r="N12" s="53">
        <f t="shared" si="0"/>
        <v>0.25976741370351902</v>
      </c>
      <c r="O12" s="53">
        <f t="shared" si="1"/>
        <v>0.25604117506111024</v>
      </c>
    </row>
    <row r="13" spans="2:15" ht="16.5" customHeight="1" x14ac:dyDescent="0.25">
      <c r="B13" s="40" t="s">
        <v>163</v>
      </c>
      <c r="C13" s="43">
        <f>IFERROR(HistoricalIFS!C27,0)</f>
        <v>0.25158177100037904</v>
      </c>
      <c r="D13" s="43">
        <f>IFERROR(HistoricalIFS!D27,0)</f>
        <v>0.28727379232685368</v>
      </c>
      <c r="E13" s="43">
        <f>IFERROR(HistoricalIFS!E27,0)</f>
        <v>0.28838165479823663</v>
      </c>
      <c r="F13" s="43">
        <f>IFERROR(HistoricalIFS!F27,0)</f>
        <v>0.26578994106395176</v>
      </c>
      <c r="G13" s="43">
        <f>IFERROR(HistoricalIFS!G27,0)</f>
        <v>0.19679185630103199</v>
      </c>
      <c r="H13" s="43">
        <f>IFERROR(HistoricalIFS!H27,0)</f>
        <v>0.15280349985952399</v>
      </c>
      <c r="I13" s="43">
        <f>IFERROR(HistoricalIFS!I27,0)</f>
        <v>0.16757316832769623</v>
      </c>
      <c r="J13" s="43">
        <f>IFERROR(HistoricalIFS!J27,0)</f>
        <v>0.20215161422998471</v>
      </c>
      <c r="K13" s="43">
        <f>IFERROR(HistoricalIFS!K27,0)</f>
        <v>0.2256784983835052</v>
      </c>
      <c r="L13" s="43">
        <f>IFERROR(HistoricalIFS!L27,0)</f>
        <v>0.21161451695384551</v>
      </c>
      <c r="N13" s="53">
        <f t="shared" si="0"/>
        <v>0.22496403132450088</v>
      </c>
      <c r="O13" s="53">
        <f t="shared" si="1"/>
        <v>0.21864650766867536</v>
      </c>
    </row>
    <row r="14" spans="2:15" ht="16.5" customHeight="1" x14ac:dyDescent="0.25">
      <c r="B14" s="40" t="s">
        <v>164</v>
      </c>
      <c r="C14" s="43">
        <f>IFERROR(HistoricalIFS!C30,0)</f>
        <v>0.25123836551949796</v>
      </c>
      <c r="D14" s="43">
        <f>IFERROR(HistoricalIFS!D30,0)</f>
        <v>0.28676763310850001</v>
      </c>
      <c r="E14" s="43">
        <f>IFERROR(HistoricalIFS!E30,0)</f>
        <v>0.28778600239153324</v>
      </c>
      <c r="F14" s="43">
        <f>IFERROR(HistoricalIFS!F30,0)</f>
        <v>0.26504175742518665</v>
      </c>
      <c r="G14" s="43">
        <f>IFERROR(HistoricalIFS!G30,0)</f>
        <v>0.19472927532178669</v>
      </c>
      <c r="H14" s="43">
        <f>IFERROR(HistoricalIFS!H30,0)</f>
        <v>0.15091710768489797</v>
      </c>
      <c r="I14" s="43">
        <f>IFERROR(HistoricalIFS!I30,0)</f>
        <v>0.16574948314353607</v>
      </c>
      <c r="J14" s="43">
        <f>IFERROR(HistoricalIFS!J30,0)</f>
        <v>0.20021146392026692</v>
      </c>
      <c r="K14" s="43">
        <f>IFERROR(HistoricalIFS!K30,0)</f>
        <v>0.22260153436971206</v>
      </c>
      <c r="L14" s="43">
        <f>IFERROR(HistoricalIFS!L30,0)</f>
        <v>0.20873486713282999</v>
      </c>
      <c r="N14" s="53">
        <f t="shared" si="0"/>
        <v>0.22337774900177476</v>
      </c>
      <c r="O14" s="53">
        <f t="shared" si="1"/>
        <v>0.21566820075127102</v>
      </c>
    </row>
    <row r="15" spans="2:15" ht="16.5" customHeight="1" x14ac:dyDescent="0.25">
      <c r="B15" s="44" t="s">
        <v>165</v>
      </c>
      <c r="C15" s="45">
        <f>IFERROR(HistoricalIFS!C39,0)</f>
        <v>0.21674069322551695</v>
      </c>
      <c r="D15" s="45">
        <f>IFERROR(HistoricalIFS!D39,0)</f>
        <v>0.24356495330823388</v>
      </c>
      <c r="E15" s="45">
        <f>IFERROR(HistoricalIFS!E39,0)</f>
        <v>0.24313772732951397</v>
      </c>
      <c r="F15" s="45">
        <f>IFERROR(HistoricalIFS!F39,0)</f>
        <v>0.22662410968188404</v>
      </c>
      <c r="G15" s="45">
        <f>IFERROR(HistoricalIFS!G39,0)</f>
        <v>0.19964210724110132</v>
      </c>
      <c r="H15" s="45">
        <f>IFERROR(HistoricalIFS!H39,0)</f>
        <v>0.15445366298371049</v>
      </c>
      <c r="I15" s="45">
        <f>IFERROR(HistoricalIFS!I39,0)</f>
        <v>0.16281099998737603</v>
      </c>
      <c r="J15" s="45">
        <f>IFERROR(HistoricalIFS!J39,0)</f>
        <v>0.20176593838326351</v>
      </c>
      <c r="K15" s="45">
        <f>IFERROR(HistoricalIFS!K39,0)</f>
        <v>0.24196076628982707</v>
      </c>
      <c r="L15" s="45">
        <f>IFERROR(HistoricalIFS!L39,0)</f>
        <v>0.25089306769614755</v>
      </c>
      <c r="M15" s="44"/>
      <c r="N15" s="55">
        <f t="shared" si="0"/>
        <v>0.21415940261265751</v>
      </c>
      <c r="O15" s="55">
        <f t="shared" si="1"/>
        <v>0.22168240145370049</v>
      </c>
    </row>
    <row r="16" spans="2:15" ht="16.5" customHeight="1" x14ac:dyDescent="0.25">
      <c r="N16" s="47"/>
      <c r="O16" s="47"/>
    </row>
    <row r="17" spans="2:15" ht="16.5" customHeight="1" x14ac:dyDescent="0.25">
      <c r="B17" s="41" t="s">
        <v>166</v>
      </c>
      <c r="C17" s="42">
        <f>IFERROR(HistoricalIFS!C15/HistoricalIFS!C6,0)</f>
        <v>7.7412018543895969E-2</v>
      </c>
      <c r="D17" s="42">
        <f>IFERROR(HistoricalIFS!D15/HistoricalIFS!D6,0)</f>
        <v>7.2163233504327948E-2</v>
      </c>
      <c r="E17" s="42">
        <f>IFERROR(HistoricalIFS!E15/HistoricalIFS!E6,0)</f>
        <v>7.5212828612732235E-2</v>
      </c>
      <c r="F17" s="42">
        <f>IFERROR(HistoricalIFS!F15/HistoricalIFS!F6,0)</f>
        <v>8.1703082353277418E-2</v>
      </c>
      <c r="G17" s="42">
        <f>IFERROR(HistoricalIFS!G15/HistoricalIFS!G6,0)</f>
        <v>9.3602721558122604E-2</v>
      </c>
      <c r="H17" s="42">
        <f>IFERROR(HistoricalIFS!H15/HistoricalIFS!H6,0)</f>
        <v>7.7532438491574304E-2</v>
      </c>
      <c r="I17" s="42">
        <f>IFERROR(HistoricalIFS!I15/HistoricalIFS!I6,0)</f>
        <v>9.2481619914098409E-2</v>
      </c>
      <c r="J17" s="42">
        <f>IFERROR(HistoricalIFS!J15/HistoricalIFS!J6,0)</f>
        <v>9.046833649767555E-2</v>
      </c>
      <c r="K17" s="42">
        <f>IFERROR(HistoricalIFS!K15/HistoricalIFS!K6,0)</f>
        <v>9.1040761306693738E-2</v>
      </c>
      <c r="L17" s="42">
        <f>IFERROR(HistoricalIFS!L15/HistoricalIFS!L6,0)</f>
        <v>0.10104052124099448</v>
      </c>
      <c r="M17" s="41"/>
      <c r="N17" s="52">
        <f t="shared" si="0"/>
        <v>8.5265756202339255E-2</v>
      </c>
      <c r="O17" s="52">
        <f t="shared" si="1"/>
        <v>8.6085709425476484E-2</v>
      </c>
    </row>
    <row r="18" spans="2:15" ht="16.5" customHeight="1" x14ac:dyDescent="0.25">
      <c r="B18" s="40" t="s">
        <v>167</v>
      </c>
      <c r="C18" s="43">
        <f>IFERROR(HistoricalIFS!C24,0)</f>
        <v>2.2126975796392945E-2</v>
      </c>
      <c r="D18" s="43">
        <f>IFERROR(HistoricalIFS!D24,0)</f>
        <v>2.186863746488165E-2</v>
      </c>
      <c r="E18" s="43">
        <f>IFERROR(HistoricalIFS!E24,0)</f>
        <v>2.4908086594920671E-2</v>
      </c>
      <c r="F18" s="43">
        <f>IFERROR(HistoricalIFS!F24,0)</f>
        <v>3.0650011329929588E-2</v>
      </c>
      <c r="G18" s="43">
        <f>IFERROR(HistoricalIFS!G24,0)</f>
        <v>4.1682052268074352E-2</v>
      </c>
      <c r="H18" s="43">
        <f>IFERROR(HistoricalIFS!H24,0)</f>
        <v>5.1687145584752903E-2</v>
      </c>
      <c r="I18" s="43">
        <f>IFERROR(HistoricalIFS!I24,0)</f>
        <v>4.3885944902955283E-2</v>
      </c>
      <c r="J18" s="43">
        <f>IFERROR(HistoricalIFS!J24,0)</f>
        <v>3.643563506340456E-2</v>
      </c>
      <c r="K18" s="43">
        <f>IFERROR(HistoricalIFS!K24,0)</f>
        <v>3.6139813180872025E-2</v>
      </c>
      <c r="L18" s="43">
        <f>IFERROR(HistoricalIFS!L24,0)</f>
        <v>3.8649521603997809E-2</v>
      </c>
      <c r="N18" s="53">
        <f t="shared" si="0"/>
        <v>3.4803382379018179E-2</v>
      </c>
      <c r="O18" s="53">
        <f t="shared" si="1"/>
        <v>3.6287724122138293E-2</v>
      </c>
    </row>
    <row r="19" spans="2:15" ht="16.5" customHeight="1" x14ac:dyDescent="0.25">
      <c r="B19" s="44" t="s">
        <v>168</v>
      </c>
      <c r="C19" s="45">
        <f>IFERROR(HistoricalIFS!C27,0)</f>
        <v>0.25158177100037904</v>
      </c>
      <c r="D19" s="45">
        <f>IFERROR(HistoricalIFS!D27,0)</f>
        <v>0.28727379232685368</v>
      </c>
      <c r="E19" s="45">
        <f>IFERROR(HistoricalIFS!E27,0)</f>
        <v>0.28838165479823663</v>
      </c>
      <c r="F19" s="45">
        <f>IFERROR(HistoricalIFS!F27,0)</f>
        <v>0.26578994106395176</v>
      </c>
      <c r="G19" s="45">
        <f>IFERROR(HistoricalIFS!G27,0)</f>
        <v>0.19679185630103199</v>
      </c>
      <c r="H19" s="45">
        <f>IFERROR(HistoricalIFS!H27,0)</f>
        <v>0.15280349985952399</v>
      </c>
      <c r="I19" s="45">
        <f>IFERROR(HistoricalIFS!I27,0)</f>
        <v>0.16757316832769623</v>
      </c>
      <c r="J19" s="45">
        <f>IFERROR(HistoricalIFS!J27,0)</f>
        <v>0.20215161422998471</v>
      </c>
      <c r="K19" s="45">
        <f>IFERROR(HistoricalIFS!K27,0)</f>
        <v>0.2256784983835052</v>
      </c>
      <c r="L19" s="45">
        <f>IFERROR(HistoricalIFS!L27,0)</f>
        <v>0.21161451695384551</v>
      </c>
      <c r="M19" s="44"/>
      <c r="N19" s="55">
        <f t="shared" si="0"/>
        <v>0.22496403132450088</v>
      </c>
      <c r="O19" s="55">
        <f t="shared" si="1"/>
        <v>0.21864650766867536</v>
      </c>
    </row>
    <row r="20" spans="2:15" ht="16.5" customHeight="1" x14ac:dyDescent="0.25">
      <c r="N20" s="47"/>
      <c r="O20" s="47"/>
    </row>
    <row r="21" spans="2:15" ht="16.5" customHeight="1" x14ac:dyDescent="0.25">
      <c r="B21" s="41" t="s">
        <v>169</v>
      </c>
      <c r="C21" s="42">
        <f>IFERROR(HistoricalIFS!C26/SUM(HistoricalIFS!C53:C55),0)</f>
        <v>0.42254452261634651</v>
      </c>
      <c r="D21" s="42">
        <f>IFERROR(HistoricalIFS!D26/SUM(HistoricalIFS!D53:D55),0)</f>
        <v>0.37026381182058737</v>
      </c>
      <c r="E21" s="42">
        <f>IFERROR(HistoricalIFS!E26/SUM(HistoricalIFS!E53:E55),0)</f>
        <v>0.36002818584274121</v>
      </c>
      <c r="F21" s="42">
        <f>IFERROR(HistoricalIFS!F26/SUM(HistoricalIFS!F53:F55),0)</f>
        <v>0.2859772356866413</v>
      </c>
      <c r="G21" s="42">
        <f>IFERROR(HistoricalIFS!G26/SUM(HistoricalIFS!G53:G55),0)</f>
        <v>0.17608624887951341</v>
      </c>
      <c r="H21" s="42">
        <f>IFERROR(HistoricalIFS!H26/SUM(HistoricalIFS!H53:H55),0)</f>
        <v>0.11430576298346191</v>
      </c>
      <c r="I21" s="42">
        <f>IFERROR(HistoricalIFS!I26/SUM(HistoricalIFS!I53:I55),0)</f>
        <v>0.13570929189168363</v>
      </c>
      <c r="J21" s="42">
        <f>IFERROR(HistoricalIFS!J26/SUM(HistoricalIFS!J53:J55),0)</f>
        <v>0.1910837905605782</v>
      </c>
      <c r="K21" s="42">
        <f>IFERROR(HistoricalIFS!K26/SUM(HistoricalIFS!K53:K55),0)</f>
        <v>0.2020999763335655</v>
      </c>
      <c r="L21" s="42">
        <f>IFERROR(HistoricalIFS!L26/SUM(HistoricalIFS!L53:L55),0)</f>
        <v>0.183558251074944</v>
      </c>
      <c r="M21" s="41"/>
      <c r="N21" s="52">
        <f t="shared" si="0"/>
        <v>0.24416570776900631</v>
      </c>
      <c r="O21" s="52">
        <f t="shared" si="1"/>
        <v>0.19659188344707185</v>
      </c>
    </row>
    <row r="22" spans="2:15" ht="16.5" customHeight="1" x14ac:dyDescent="0.25">
      <c r="B22" s="40" t="s">
        <v>170</v>
      </c>
      <c r="C22" s="43">
        <f>IFERROR(HistoricalIFS!C49,0)</f>
        <v>0.79701653164329911</v>
      </c>
      <c r="D22" s="43">
        <f>IFERROR(HistoricalIFS!D49,0)</f>
        <v>0.84116328484367331</v>
      </c>
      <c r="E22" s="43">
        <f>IFERROR(HistoricalIFS!E49,0)</f>
        <v>0.86243187198355753</v>
      </c>
      <c r="F22" s="43">
        <f>IFERROR(HistoricalIFS!F49,0)</f>
        <v>0.84641369215178464</v>
      </c>
      <c r="G22" s="43">
        <f>IFERROR(HistoricalIFS!G49,0)</f>
        <v>0.81326336295582902</v>
      </c>
      <c r="H22" s="43">
        <f>IFERROR(HistoricalIFS!H49,0)</f>
        <v>0.65504978134814273</v>
      </c>
      <c r="I22" s="43">
        <f>IFERROR(HistoricalIFS!I49,0)</f>
        <v>0.65755696051532875</v>
      </c>
      <c r="J22" s="43">
        <f>IFERROR(HistoricalIFS!J49,0)</f>
        <v>0.65272105808630243</v>
      </c>
      <c r="K22" s="43">
        <f>IFERROR(HistoricalIFS!K49,0)</f>
        <v>0.65099312423612998</v>
      </c>
      <c r="L22" s="43">
        <f>IFERROR(HistoricalIFS!L49,0)</f>
        <v>0.59458774427387384</v>
      </c>
      <c r="N22" s="53">
        <f t="shared" si="0"/>
        <v>0.73711974120379209</v>
      </c>
      <c r="O22" s="53">
        <f t="shared" si="1"/>
        <v>0.72728674607931398</v>
      </c>
    </row>
    <row r="23" spans="2:15" ht="16.5" customHeight="1" x14ac:dyDescent="0.25">
      <c r="B23" s="40" t="s">
        <v>171</v>
      </c>
      <c r="C23" s="43">
        <f>IFERROR(HistoricalIFS!C38/SUM(HistoricalIFS!C53:C54),0)</f>
        <v>0.36627622095267298</v>
      </c>
      <c r="D23" s="43">
        <f>IFERROR(HistoricalIFS!D38/SUM(HistoricalIFS!D53:D54),0)</f>
        <v>0.32049720583640623</v>
      </c>
      <c r="E23" s="43">
        <f>IFERROR(HistoricalIFS!E38/SUM(HistoricalIFS!E53:E54),0)</f>
        <v>0.31005665661935078</v>
      </c>
      <c r="F23" s="43">
        <f>IFERROR(HistoricalIFS!F38/SUM(HistoricalIFS!F53:F54),0)</f>
        <v>0.24894267338810933</v>
      </c>
      <c r="G23" s="43">
        <f>IFERROR(HistoricalIFS!G38/SUM(HistoricalIFS!G53:G54),0)</f>
        <v>0.18309315865355238</v>
      </c>
      <c r="H23" s="43">
        <f>IFERROR(HistoricalIFS!H38/SUM(HistoricalIFS!H53:H54),0)</f>
        <v>0.11775490292076991</v>
      </c>
      <c r="I23" s="43">
        <f>IFERROR(HistoricalIFS!I38/SUM(HistoricalIFS!I53:I54),0)</f>
        <v>0.13297906091370562</v>
      </c>
      <c r="J23" s="43">
        <f>IFERROR(HistoricalIFS!J38/SUM(HistoricalIFS!J53:J54),0)</f>
        <v>0.19438863049923019</v>
      </c>
      <c r="K23" s="43">
        <f>IFERROR(HistoricalIFS!K38/SUM(HistoricalIFS!K53:K54),0)</f>
        <v>0.22171751120637609</v>
      </c>
      <c r="L23" s="43">
        <f>IFERROR(HistoricalIFS!L38/SUM(HistoricalIFS!L53:L54),0)</f>
        <v>0.2223108127207816</v>
      </c>
      <c r="N23" s="53">
        <f t="shared" si="0"/>
        <v>0.2318016833710955</v>
      </c>
      <c r="O23" s="53">
        <f t="shared" si="1"/>
        <v>0.22201416196357884</v>
      </c>
    </row>
    <row r="24" spans="2:15" ht="16.5" customHeight="1" x14ac:dyDescent="0.25">
      <c r="B24" s="40" t="s">
        <v>172</v>
      </c>
      <c r="C24" s="43">
        <f>IFERROR(C22*C23,0)</f>
        <v>0.2919282032471141</v>
      </c>
      <c r="D24" s="43">
        <f t="shared" ref="D24:L24" si="2">IFERROR(D22*D23,0)</f>
        <v>0.26959048244457035</v>
      </c>
      <c r="E24" s="43">
        <f t="shared" si="2"/>
        <v>0.2674027427891898</v>
      </c>
      <c r="F24" s="43">
        <f t="shared" si="2"/>
        <v>0.21070848731656544</v>
      </c>
      <c r="G24" s="43">
        <f t="shared" si="2"/>
        <v>0.14890295794079317</v>
      </c>
      <c r="H24" s="43">
        <f t="shared" si="2"/>
        <v>7.7135323410922108E-2</v>
      </c>
      <c r="I24" s="43">
        <f t="shared" si="2"/>
        <v>8.7441307106599017E-2</v>
      </c>
      <c r="J24" s="43">
        <f t="shared" si="2"/>
        <v>0.12688155257940481</v>
      </c>
      <c r="K24" s="43">
        <f t="shared" si="2"/>
        <v>0.14433657531809793</v>
      </c>
      <c r="L24" s="43">
        <f t="shared" si="2"/>
        <v>0.13218328466334114</v>
      </c>
      <c r="N24" s="53">
        <f t="shared" si="0"/>
        <v>0.17565109168165977</v>
      </c>
      <c r="O24" s="53">
        <f t="shared" si="1"/>
        <v>0.14661976662944554</v>
      </c>
    </row>
    <row r="25" spans="2:15" ht="16.5" customHeight="1" x14ac:dyDescent="0.25">
      <c r="B25" s="44" t="s">
        <v>173</v>
      </c>
      <c r="C25" s="46">
        <f>IFERROR(HistoricalIFS!C26/HistoricalIFS!C20,)</f>
        <v>732.60849056603774</v>
      </c>
      <c r="D25" s="46">
        <f>IFERROR(HistoricalIFS!D26/HistoricalIFS!D20,)</f>
        <v>567.55617977528073</v>
      </c>
      <c r="E25" s="46">
        <f>IFERROR(HistoricalIFS!E26/HistoricalIFS!E20,)</f>
        <v>484.14419475655416</v>
      </c>
      <c r="F25" s="46">
        <f>IFERROR(HistoricalIFS!F26/HistoricalIFS!F20,)</f>
        <v>355.24693042291938</v>
      </c>
      <c r="G25" s="46">
        <f>IFERROR(HistoricalIFS!G26/HistoricalIFS!G20,)</f>
        <v>95.410487288135613</v>
      </c>
      <c r="H25" s="46">
        <f>IFERROR(HistoricalIFS!H26/HistoricalIFS!H20,)</f>
        <v>81.00303951367782</v>
      </c>
      <c r="I25" s="46">
        <f>IFERROR(HistoricalIFS!I26/HistoricalIFS!I20,)</f>
        <v>91.887113951011713</v>
      </c>
      <c r="J25" s="46">
        <f>IFERROR(HistoricalIFS!J26/HistoricalIFS!J20,)</f>
        <v>104.19379014989296</v>
      </c>
      <c r="K25" s="46">
        <f>IFERROR(HistoricalIFS!K26/HistoricalIFS!K20,)</f>
        <v>73.344536163521951</v>
      </c>
      <c r="L25" s="46">
        <f>IFERROR(HistoricalIFS!L26/HistoricalIFS!L20,)</f>
        <v>73.486198012513753</v>
      </c>
      <c r="M25" s="44"/>
      <c r="N25" s="46">
        <f t="shared" si="0"/>
        <v>265.88809605995459</v>
      </c>
      <c r="O25" s="46">
        <f t="shared" si="1"/>
        <v>99.802138719014295</v>
      </c>
    </row>
    <row r="26" spans="2:15" ht="16.5" customHeight="1" x14ac:dyDescent="0.25">
      <c r="N26" s="47"/>
      <c r="O26" s="47"/>
    </row>
    <row r="27" spans="2:15" ht="16.5" customHeight="1" x14ac:dyDescent="0.25">
      <c r="B27" s="41" t="s">
        <v>174</v>
      </c>
      <c r="C27" s="42">
        <f>IFERROR(HistoricalIFS!C65/HistoricalIFS!C6,0)</f>
        <v>5.2871485358291781E-3</v>
      </c>
      <c r="D27" s="42">
        <f>IFERROR(HistoricalIFS!D65/HistoricalIFS!D6,0)</f>
        <v>7.1146649680949078E-3</v>
      </c>
      <c r="E27" s="42">
        <f>IFERROR(HistoricalIFS!E65/HistoricalIFS!E6,0)</f>
        <v>7.5850868269350903E-3</v>
      </c>
      <c r="F27" s="42">
        <f>IFERROR(HistoricalIFS!F65/HistoricalIFS!F6,0)</f>
        <v>8.6036014886098494E-3</v>
      </c>
      <c r="G27" s="42">
        <f>IFERROR(HistoricalIFS!G65/HistoricalIFS!G6,0)</f>
        <v>9.4782587796250223E-3</v>
      </c>
      <c r="H27" s="42">
        <f>IFERROR(HistoricalIFS!H65/HistoricalIFS!H6,0)</f>
        <v>1.813688670752894E-2</v>
      </c>
      <c r="I27" s="42">
        <f>IFERROR(HistoricalIFS!I65/HistoricalIFS!I6,0)</f>
        <v>2.9330451172722798E-2</v>
      </c>
      <c r="J27" s="42">
        <f>IFERROR(HistoricalIFS!J65/HistoricalIFS!J6,0)</f>
        <v>2.55446199950423E-2</v>
      </c>
      <c r="K27" s="42">
        <f>IFERROR(HistoricalIFS!K65/HistoricalIFS!K6,0)</f>
        <v>2.2604316216108342E-2</v>
      </c>
      <c r="L27" s="42">
        <f>IFERROR(HistoricalIFS!L65/HistoricalIFS!L6,0)</f>
        <v>2.9127175701563566E-2</v>
      </c>
      <c r="M27" s="41"/>
      <c r="N27" s="52">
        <f t="shared" si="0"/>
        <v>1.6281221039206002E-2</v>
      </c>
      <c r="O27" s="52">
        <f t="shared" si="1"/>
        <v>1.3807572743576982E-2</v>
      </c>
    </row>
    <row r="28" spans="2:15" ht="16.5" customHeight="1" x14ac:dyDescent="0.25">
      <c r="B28" s="40" t="s">
        <v>175</v>
      </c>
      <c r="C28" s="43">
        <f>IFERROR(HistoricalIFS!C56/HistoricalIFS!C6,0)</f>
        <v>0.2046421293731554</v>
      </c>
      <c r="D28" s="43">
        <f>IFERROR(HistoricalIFS!D56/HistoricalIFS!D6,0)</f>
        <v>0.22068541920220211</v>
      </c>
      <c r="E28" s="43">
        <f>IFERROR(HistoricalIFS!E56/HistoricalIFS!E6,0)</f>
        <v>0.26116346308293625</v>
      </c>
      <c r="F28" s="43">
        <f>IFERROR(HistoricalIFS!F56/HistoricalIFS!F6,0)</f>
        <v>0.23286067452888928</v>
      </c>
      <c r="G28" s="43">
        <f>IFERROR(HistoricalIFS!G56/HistoricalIFS!G6,0)</f>
        <v>0.24250511821604226</v>
      </c>
      <c r="H28" s="43">
        <f>IFERROR(HistoricalIFS!H56/HistoricalIFS!H6,0)</f>
        <v>0.33270224245586472</v>
      </c>
      <c r="I28" s="43">
        <f>IFERROR(HistoricalIFS!I56/HistoricalIFS!I6,0)</f>
        <v>0.33250888779480725</v>
      </c>
      <c r="J28" s="43">
        <f>IFERROR(HistoricalIFS!J56/HistoricalIFS!J6,0)</f>
        <v>0.27135446310737021</v>
      </c>
      <c r="K28" s="43">
        <f>IFERROR(HistoricalIFS!K56/HistoricalIFS!K6,0)</f>
        <v>0.28121806168200109</v>
      </c>
      <c r="L28" s="43">
        <f>IFERROR(HistoricalIFS!L56/HistoricalIFS!L6,0)</f>
        <v>0.28721194890396839</v>
      </c>
      <c r="N28" s="53">
        <f t="shared" si="0"/>
        <v>0.26668524083472367</v>
      </c>
      <c r="O28" s="53">
        <f t="shared" si="1"/>
        <v>0.26625896309515323</v>
      </c>
    </row>
    <row r="29" spans="2:15" ht="16.5" customHeight="1" x14ac:dyDescent="0.25">
      <c r="B29" s="40" t="s">
        <v>47</v>
      </c>
      <c r="C29" s="43">
        <f>IFERROR(HistoricalIFS!C66/HistoricalIFS!C6,0)</f>
        <v>4.9954158607976723E-2</v>
      </c>
      <c r="D29" s="43">
        <f>IFERROR(HistoricalIFS!D66/HistoricalIFS!D6,0)</f>
        <v>4.775811276544923E-2</v>
      </c>
      <c r="E29" s="43">
        <f>IFERROR(HistoricalIFS!E66/HistoricalIFS!E6,0)</f>
        <v>4.402027449090682E-2</v>
      </c>
      <c r="F29" s="43">
        <f>IFERROR(HistoricalIFS!F66/HistoricalIFS!F6,0)</f>
        <v>6.465000724707208E-2</v>
      </c>
      <c r="G29" s="43">
        <f>IFERROR(HistoricalIFS!G66/HistoricalIFS!G6,0)</f>
        <v>6.2527448277067549E-2</v>
      </c>
      <c r="H29" s="43">
        <f>IFERROR(HistoricalIFS!H66/HistoricalIFS!H6,0)</f>
        <v>0.10029413957008607</v>
      </c>
      <c r="I29" s="43">
        <f>IFERROR(HistoricalIFS!I66/HistoricalIFS!I6,0)</f>
        <v>0.10996491493838995</v>
      </c>
      <c r="J29" s="43">
        <f>IFERROR(HistoricalIFS!J66/HistoricalIFS!J6,0)</f>
        <v>8.8521262025539088E-2</v>
      </c>
      <c r="K29" s="43">
        <f>IFERROR(HistoricalIFS!K66/HistoricalIFS!K6,0)</f>
        <v>8.5247868561386289E-2</v>
      </c>
      <c r="L29" s="43">
        <f>IFERROR(HistoricalIFS!L66/HistoricalIFS!L6,0)</f>
        <v>8.2868097306091307E-2</v>
      </c>
      <c r="N29" s="53">
        <f t="shared" si="0"/>
        <v>7.358062837899651E-2</v>
      </c>
      <c r="O29" s="53">
        <f t="shared" si="1"/>
        <v>7.3759052276581694E-2</v>
      </c>
    </row>
    <row r="30" spans="2:15" ht="16.5" customHeight="1" x14ac:dyDescent="0.25">
      <c r="B30" s="40" t="s">
        <v>176</v>
      </c>
      <c r="C30" s="43">
        <f>IFERROR(HistoricalIFS!C59/HistoricalIFS!C6,0)</f>
        <v>0.12790072341928191</v>
      </c>
      <c r="D30" s="43">
        <f>IFERROR(HistoricalIFS!D59/HistoricalIFS!D6,0)</f>
        <v>0.1240914726389663</v>
      </c>
      <c r="E30" s="43">
        <f>IFERROR(HistoricalIFS!E59/HistoricalIFS!E6,0)</f>
        <v>0.16750660348735524</v>
      </c>
      <c r="F30" s="43">
        <f>IFERROR(HistoricalIFS!F59/HistoricalIFS!F6,0)</f>
        <v>0.19134107579212539</v>
      </c>
      <c r="G30" s="43">
        <f>IFERROR(HistoricalIFS!G59/HistoricalIFS!G6,0)</f>
        <v>0.25973662763640021</v>
      </c>
      <c r="H30" s="43">
        <f>IFERROR(HistoricalIFS!H59/HistoricalIFS!H6,0)</f>
        <v>0.27903696525942195</v>
      </c>
      <c r="I30" s="43">
        <f>IFERROR(HistoricalIFS!I59/HistoricalIFS!I6,0)</f>
        <v>0.23541658776654889</v>
      </c>
      <c r="J30" s="43">
        <f>IFERROR(HistoricalIFS!J59/HistoricalIFS!J6,0)</f>
        <v>0.18625927664660041</v>
      </c>
      <c r="K30" s="43">
        <f>IFERROR(HistoricalIFS!K59/HistoricalIFS!K6,0)</f>
        <v>0.17624690217213826</v>
      </c>
      <c r="L30" s="43">
        <f>IFERROR(HistoricalIFS!L59/HistoricalIFS!L6,0)</f>
        <v>0.18407024776964923</v>
      </c>
      <c r="N30" s="53">
        <f t="shared" si="0"/>
        <v>0.19316064825884877</v>
      </c>
      <c r="O30" s="53">
        <f t="shared" si="1"/>
        <v>0.18516476220812483</v>
      </c>
    </row>
    <row r="31" spans="2:15" ht="16.5" customHeight="1" x14ac:dyDescent="0.25">
      <c r="B31" s="44" t="s">
        <v>177</v>
      </c>
      <c r="C31" s="45">
        <f>IFERROR(SUM(HistoricalIFS!C53:C54)/HistoricalIFS!C6,0)</f>
        <v>0.59174109818481035</v>
      </c>
      <c r="D31" s="45">
        <f>IFERROR(SUM(HistoricalIFS!D53:D54)/HistoricalIFS!D6,0)</f>
        <v>0.75995967787799856</v>
      </c>
      <c r="E31" s="45">
        <f>IFERROR(SUM(HistoricalIFS!E53:E54)/HistoricalIFS!E6,0)</f>
        <v>0.78417193160928789</v>
      </c>
      <c r="F31" s="45">
        <f>IFERROR(SUM(HistoricalIFS!F53:F54)/HistoricalIFS!F6,0)</f>
        <v>0.91034657335976321</v>
      </c>
      <c r="G31" s="45">
        <f>IFERROR(SUM(HistoricalIFS!G53:G54)/HistoricalIFS!G6,0)</f>
        <v>1.0903854011217466</v>
      </c>
      <c r="H31" s="45">
        <f>IFERROR(SUM(HistoricalIFS!H53:H54)/HistoricalIFS!H6,0)</f>
        <v>1.3116537753645208</v>
      </c>
      <c r="I31" s="45">
        <f>IFERROR(SUM(HistoricalIFS!I53:I54)/HistoricalIFS!I6,0)</f>
        <v>1.2243356124542744</v>
      </c>
      <c r="J31" s="45">
        <f>IFERROR(SUM(HistoricalIFS!J53:J54)/HistoricalIFS!J6,0)</f>
        <v>1.0379513342168565</v>
      </c>
      <c r="K31" s="45">
        <f>IFERROR(SUM(HistoricalIFS!K53:K54)/HistoricalIFS!K6,0)</f>
        <v>1.0913020129682425</v>
      </c>
      <c r="L31" s="45">
        <f>IFERROR(SUM(HistoricalIFS!L53:L54)/HistoricalIFS!L6,0)</f>
        <v>1.128568892468873</v>
      </c>
      <c r="M31" s="44"/>
      <c r="N31" s="55">
        <f t="shared" si="0"/>
        <v>0.99304163096263731</v>
      </c>
      <c r="O31" s="55">
        <f t="shared" si="1"/>
        <v>1.0641683676693017</v>
      </c>
    </row>
    <row r="32" spans="2:15" ht="16.5" customHeight="1" x14ac:dyDescent="0.25">
      <c r="N32" s="47"/>
      <c r="O32" s="47"/>
    </row>
    <row r="33" spans="2:15" ht="16.5" customHeight="1" x14ac:dyDescent="0.25">
      <c r="B33" s="41" t="s">
        <v>46</v>
      </c>
      <c r="C33" s="48">
        <f>IFERROR(365/HistoricalIFS!C65,0)</f>
        <v>11.182598039215685</v>
      </c>
      <c r="D33" s="48">
        <f>IFERROR(365/HistoricalIFS!D65,0)</f>
        <v>7.2941646682653882</v>
      </c>
      <c r="E33" s="48">
        <f>IFERROR(365/HistoricalIFS!E65,0)</f>
        <v>5.367647058823529</v>
      </c>
      <c r="F33" s="48">
        <f>IFERROR(365/HistoricalIFS!F65,0)</f>
        <v>4.3302882904259103</v>
      </c>
      <c r="G33" s="48">
        <f>IFERROR(365/HistoricalIFS!G65,0)</f>
        <v>4.2070078377132321</v>
      </c>
      <c r="H33" s="48">
        <f>IFERROR(365/HistoricalIFS!H65,0)</f>
        <v>2.3077895801719777</v>
      </c>
      <c r="I33" s="48">
        <f>IFERROR(365/HistoricalIFS!I65,0)</f>
        <v>1.2084492120248973</v>
      </c>
      <c r="J33" s="48">
        <f>IFERROR(365/HistoricalIFS!J65,0)</f>
        <v>0.98937439011167727</v>
      </c>
      <c r="K33" s="48">
        <f>IFERROR(365/HistoricalIFS!K65,0)</f>
        <v>0.97651024666916375</v>
      </c>
      <c r="L33" s="48">
        <f>IFERROR(365/HistoricalIFS!L65,0)</f>
        <v>0.66407102830943887</v>
      </c>
      <c r="M33" s="41"/>
      <c r="N33" s="48">
        <f t="shared" si="0"/>
        <v>3.8527900351730899</v>
      </c>
      <c r="O33" s="48">
        <f t="shared" si="1"/>
        <v>3.2573987089426049</v>
      </c>
    </row>
    <row r="34" spans="2:15" ht="16.5" customHeight="1" x14ac:dyDescent="0.25">
      <c r="B34" s="40" t="s">
        <v>178</v>
      </c>
      <c r="C34" s="49">
        <f>IFERROR(365/HistoricalIFS!C56,0)</f>
        <v>0.2889143942692049</v>
      </c>
      <c r="D34" s="49">
        <f>IFERROR(365/HistoricalIFS!D56,0)</f>
        <v>0.23515616946706525</v>
      </c>
      <c r="E34" s="49">
        <f>IFERROR(365/HistoricalIFS!E56,0)</f>
        <v>0.15589496523328719</v>
      </c>
      <c r="F34" s="49">
        <f>IFERROR(365/HistoricalIFS!F56,0)</f>
        <v>0.1599929866088062</v>
      </c>
      <c r="G34" s="49">
        <f>IFERROR(365/HistoricalIFS!G56,0)</f>
        <v>0.16442996860063339</v>
      </c>
      <c r="H34" s="49">
        <f>IFERROR(365/HistoricalIFS!H56,0)</f>
        <v>0.12580654056140736</v>
      </c>
      <c r="I34" s="49">
        <f>IFERROR(365/HistoricalIFS!I56,0)</f>
        <v>0.10659673142296415</v>
      </c>
      <c r="J34" s="49">
        <f>IFERROR(365/HistoricalIFS!J56,0)</f>
        <v>9.3137192360198531E-2</v>
      </c>
      <c r="K34" s="49">
        <f>IFERROR(365/HistoricalIFS!K56,0)</f>
        <v>7.8491922858568305E-2</v>
      </c>
      <c r="L34" s="49">
        <f>IFERROR(365/HistoricalIFS!L56,0)</f>
        <v>6.7345782770181134E-2</v>
      </c>
      <c r="N34" s="49">
        <f t="shared" si="0"/>
        <v>0.14757666541523162</v>
      </c>
      <c r="O34" s="49">
        <f t="shared" si="1"/>
        <v>0.14085075289734728</v>
      </c>
    </row>
    <row r="35" spans="2:15" ht="16.5" customHeight="1" x14ac:dyDescent="0.25">
      <c r="B35" s="40" t="s">
        <v>179</v>
      </c>
      <c r="C35" s="49">
        <f>IFERROR(365/HistoricalIFS!C66,0)</f>
        <v>1.1835662634975195</v>
      </c>
      <c r="D35" s="49">
        <f>IFERROR(365/HistoricalIFS!D66,0)</f>
        <v>1.0866329264662102</v>
      </c>
      <c r="E35" s="49">
        <f>IFERROR(365/HistoricalIFS!E66,0)</f>
        <v>0.92489357389012772</v>
      </c>
      <c r="F35" s="49">
        <f>IFERROR(365/HistoricalIFS!F66,0)</f>
        <v>0.57627332722851998</v>
      </c>
      <c r="G35" s="49">
        <f>IFERROR(365/HistoricalIFS!G66,0)</f>
        <v>0.63772167380099587</v>
      </c>
      <c r="H35" s="49">
        <f>IFERROR(365/HistoricalIFS!H66,0)</f>
        <v>0.41733363823462155</v>
      </c>
      <c r="I35" s="49">
        <f>IFERROR(365/HistoricalIFS!I66,0)</f>
        <v>0.32232426704344752</v>
      </c>
      <c r="J35" s="49">
        <f>IFERROR(365/HistoricalIFS!J66,0)</f>
        <v>0.28550420825380934</v>
      </c>
      <c r="K35" s="49">
        <f>IFERROR(365/HistoricalIFS!K66,0)</f>
        <v>0.25893135836099995</v>
      </c>
      <c r="L35" s="49">
        <f>IFERROR(365/HistoricalIFS!L66,0)</f>
        <v>0.23341326938449242</v>
      </c>
      <c r="N35" s="49">
        <f t="shared" si="0"/>
        <v>0.5926594506160745</v>
      </c>
      <c r="O35" s="49">
        <f t="shared" si="1"/>
        <v>0.49680348273157077</v>
      </c>
    </row>
    <row r="36" spans="2:15" ht="16.5" customHeight="1" x14ac:dyDescent="0.25">
      <c r="B36" s="44" t="s">
        <v>180</v>
      </c>
      <c r="C36" s="50">
        <f>IFERROR(365/HistoricalIFS!C67,0)</f>
        <v>7.4232255440309132</v>
      </c>
      <c r="D36" s="50">
        <f>IFERROR(365/HistoricalIFS!D67,0)</f>
        <v>14.565043894652835</v>
      </c>
      <c r="E36" s="50">
        <f>IFERROR(365/HistoricalIFS!E67,0)</f>
        <v>0.30115511551155116</v>
      </c>
      <c r="F36" s="50">
        <f>IFERROR(365/HistoricalIFS!F67,0)</f>
        <v>0.12309082754131974</v>
      </c>
      <c r="G36" s="50">
        <f>IFERROR(365/HistoricalIFS!G67,0)</f>
        <v>0.12370407274477307</v>
      </c>
      <c r="H36" s="50">
        <f>IFERROR(365/HistoricalIFS!H67,0)</f>
        <v>6.2603338387338003E-2</v>
      </c>
      <c r="I36" s="50">
        <f>IFERROR(365/HistoricalIFS!I67,0)</f>
        <v>0.13406942959885693</v>
      </c>
      <c r="J36" s="50">
        <f>IFERROR(365/HistoricalIFS!J67,0)</f>
        <v>0.47676271584942131</v>
      </c>
      <c r="K36" s="50">
        <f>IFERROR(365/HistoricalIFS!K67,0)</f>
        <v>2.4947030278176476</v>
      </c>
      <c r="L36" s="50">
        <f>IFERROR(365/HistoricalIFS!L67,0)</f>
        <v>1.3877799323219651</v>
      </c>
      <c r="M36" s="44"/>
      <c r="N36" s="50">
        <f t="shared" si="0"/>
        <v>2.7092137898456619</v>
      </c>
      <c r="O36" s="50">
        <f t="shared" si="1"/>
        <v>0.38895891568048624</v>
      </c>
    </row>
    <row r="37" spans="2:15" ht="16.5" customHeight="1" x14ac:dyDescent="0.25">
      <c r="N37" s="47"/>
      <c r="O37" s="47"/>
    </row>
    <row r="38" spans="2:15" ht="16.5" customHeight="1" x14ac:dyDescent="0.25">
      <c r="B38" s="41" t="s">
        <v>181</v>
      </c>
      <c r="C38" s="42">
        <f>IFERROR(HistoricalIFS!C85/HistoricalIFS!C6,0)</f>
        <v>0.27958389622675128</v>
      </c>
      <c r="D38" s="42">
        <f>IFERROR(HistoricalIFS!D85/HistoricalIFS!D6,0)</f>
        <v>0.26587576919139644</v>
      </c>
      <c r="E38" s="42">
        <f>IFERROR(HistoricalIFS!E85/HistoricalIFS!E6,0)</f>
        <v>0.32582409737466761</v>
      </c>
      <c r="F38" s="42">
        <f>IFERROR(HistoricalIFS!F85/HistoricalIFS!F6,0)</f>
        <v>0.11411586741328522</v>
      </c>
      <c r="G38" s="42">
        <f>IFERROR(HistoricalIFS!G85/HistoricalIFS!G6,0)</f>
        <v>0.19445943554325193</v>
      </c>
      <c r="H38" s="42">
        <f>IFERROR(HistoricalIFS!H85/HistoricalIFS!H6,0)</f>
        <v>0.22074802043495959</v>
      </c>
      <c r="I38" s="42">
        <f>IFERROR(HistoricalIFS!I85/HistoricalIFS!I6,0)</f>
        <v>0.13546543300870184</v>
      </c>
      <c r="J38" s="42">
        <f>IFERROR(HistoricalIFS!J85/HistoricalIFS!J6,0)</f>
        <v>0.20003905227604143</v>
      </c>
      <c r="K38" s="42">
        <f>IFERROR(HistoricalIFS!K85/HistoricalIFS!K6,0)</f>
        <v>0.24867287784428677</v>
      </c>
      <c r="L38" s="42">
        <f>IFERROR(HistoricalIFS!L85/HistoricalIFS!L6,0)</f>
        <v>0.22209444975848355</v>
      </c>
      <c r="M38" s="41"/>
      <c r="N38" s="52">
        <f t="shared" si="0"/>
        <v>0.22068788990718255</v>
      </c>
      <c r="O38" s="52">
        <f t="shared" si="1"/>
        <v>0.22142123509672157</v>
      </c>
    </row>
    <row r="39" spans="2:15" ht="16.5" customHeight="1" x14ac:dyDescent="0.25">
      <c r="B39" s="40" t="s">
        <v>182</v>
      </c>
      <c r="C39" s="43">
        <f>IFERROR(HistoricalIFS!C85/HistoricalIFS!C69,0)</f>
        <v>0.34946274658281723</v>
      </c>
      <c r="D39" s="43">
        <f>IFERROR(HistoricalIFS!D85/HistoricalIFS!D69,0)</f>
        <v>0.2667967836007008</v>
      </c>
      <c r="E39" s="43">
        <f>IFERROR(HistoricalIFS!E85/HistoricalIFS!E69,0)</f>
        <v>0.30675587546194538</v>
      </c>
      <c r="F39" s="43">
        <f>IFERROR(HistoricalIFS!F85/HistoricalIFS!F69,0)</f>
        <v>9.8183603338242512E-2</v>
      </c>
      <c r="G39" s="43">
        <f>IFERROR(HistoricalIFS!G85/HistoricalIFS!G69,0)</f>
        <v>0.14297510305452651</v>
      </c>
      <c r="H39" s="43">
        <f>IFERROR(HistoricalIFS!H85/HistoricalIFS!H69,0)</f>
        <v>0.13222416150992436</v>
      </c>
      <c r="I39" s="43">
        <f>IFERROR(HistoricalIFS!I85/HistoricalIFS!I69,0)</f>
        <v>8.6432137141469287E-2</v>
      </c>
      <c r="J39" s="43">
        <f>IFERROR(HistoricalIFS!J85/HistoricalIFS!J69,0)</f>
        <v>0.15048724739082514</v>
      </c>
      <c r="K39" s="43">
        <f>IFERROR(HistoricalIFS!K85/HistoricalIFS!K69,0)</f>
        <v>0.17789214250579602</v>
      </c>
      <c r="L39" s="43">
        <f>IFERROR(HistoricalIFS!L85/HistoricalIFS!L69,0)</f>
        <v>0.1542259795152866</v>
      </c>
      <c r="N39" s="53">
        <f t="shared" si="0"/>
        <v>0.18654357801015342</v>
      </c>
      <c r="O39" s="53">
        <f t="shared" si="1"/>
        <v>0.15235661345305587</v>
      </c>
    </row>
    <row r="40" spans="2:15" ht="16.5" customHeight="1" x14ac:dyDescent="0.25">
      <c r="B40" s="44" t="s">
        <v>183</v>
      </c>
      <c r="C40" s="45">
        <f>IFERROR(HistoricalIFS!C85/HistoricalIFS!C55,0)</f>
        <v>76.473194505981397</v>
      </c>
      <c r="D40" s="45">
        <f>IFERROR(HistoricalIFS!D85/HistoricalIFS!D55,0)</f>
        <v>16.718819848010728</v>
      </c>
      <c r="E40" s="45">
        <f>IFERROR(HistoricalIFS!E85/HistoricalIFS!E55,0)</f>
        <v>19.364889949615485</v>
      </c>
      <c r="F40" s="45">
        <f>IFERROR(HistoricalIFS!F85/HistoricalIFS!F55,0)</f>
        <v>5.9862925680017138</v>
      </c>
      <c r="G40" s="45">
        <f>IFERROR(HistoricalIFS!G85/HistoricalIFS!G55,0)</f>
        <v>7.1485943775100402</v>
      </c>
      <c r="H40" s="45">
        <f>IFERROR(HistoricalIFS!H85/HistoricalIFS!H55,0)</f>
        <v>8.7799315849486881</v>
      </c>
      <c r="I40" s="45">
        <f>IFERROR(HistoricalIFS!I85/HistoricalIFS!I55,0)</f>
        <v>12.951443691393557</v>
      </c>
      <c r="J40" s="45">
        <f>IFERROR(HistoricalIFS!J85/HistoricalIFS!J55,0)</f>
        <v>10.016989702160119</v>
      </c>
      <c r="K40" s="45">
        <f>IFERROR(HistoricalIFS!K85/HistoricalIFS!K55,0)</f>
        <v>9.8035475872592031</v>
      </c>
      <c r="L40" s="45">
        <f>IFERROR(HistoricalIFS!L85/HistoricalIFS!L55,0)</f>
        <v>9.1480584113679519</v>
      </c>
      <c r="M40" s="44"/>
      <c r="N40" s="55">
        <f t="shared" si="0"/>
        <v>17.63917622262489</v>
      </c>
      <c r="O40" s="55">
        <f t="shared" si="1"/>
        <v>9.9102686447096602</v>
      </c>
    </row>
  </sheetData>
  <sheetProtection algorithmName="SHA-512" hashValue="yiajEDyNihBlqXuEszPVFM5y76ivLnPf+W9XOC7/BCFF5D7uPoas3t12QJAK08Gdrkyqd5e0uwAUl6NMj+Teag==" saltValue="wjUOu/9qfm4bS463/xl0DQ==" spinCount="100000" sheet="1" objects="1" scenarios="1"/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negative="1" xr2:uid="{BD14BDBE-DEB3-4CC8-BAD8-4AEFAD0D8E36}">
          <x14:colorSeries theme="7" tint="0.59999389629810485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negative="1" xr2:uid="{92CF5EEA-B74D-4E7B-9AA4-1A5A3C89F4E6}">
          <x14:colorSeries theme="7" tint="0.59999389629810485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  <x14:sparkline>
              <xm:f>'Ratio Analysis'!D14:L14</xm:f>
              <xm:sqref>M14</xm:sqref>
            </x14:sparkline>
            <x14:sparkline>
              <xm:f>'Ratio Analysis'!D15:L15</xm:f>
              <xm:sqref>M15</xm:sqref>
            </x14:sparkline>
            <x14:sparkline>
              <xm:f>'Ratio Analysis'!D16:L16</xm:f>
              <xm:sqref>M16</xm:sqref>
            </x14:sparkline>
            <x14:sparkline>
              <xm:f>'Ratio Analysis'!D17:L17</xm:f>
              <xm:sqref>M17</xm:sqref>
            </x14:sparkline>
            <x14:sparkline>
              <xm:f>'Ratio Analysis'!D18:L18</xm:f>
              <xm:sqref>M18</xm:sqref>
            </x14:sparkline>
            <x14:sparkline>
              <xm:f>'Ratio Analysis'!D19:L19</xm:f>
              <xm:sqref>M19</xm:sqref>
            </x14:sparkline>
            <x14:sparkline>
              <xm:f>'Ratio Analysis'!D20:L20</xm:f>
              <xm:sqref>M20</xm:sqref>
            </x14:sparkline>
            <x14:sparkline>
              <xm:f>'Ratio Analysis'!D21:L21</xm:f>
              <xm:sqref>M21</xm:sqref>
            </x14:sparkline>
            <x14:sparkline>
              <xm:f>'Ratio Analysis'!D22:L22</xm:f>
              <xm:sqref>M22</xm:sqref>
            </x14:sparkline>
            <x14:sparkline>
              <xm:f>'Ratio Analysis'!D23:L23</xm:f>
              <xm:sqref>M23</xm:sqref>
            </x14:sparkline>
            <x14:sparkline>
              <xm:f>'Ratio Analysis'!D24:L24</xm:f>
              <xm:sqref>M24</xm:sqref>
            </x14:sparkline>
            <x14:sparkline>
              <xm:f>'Ratio Analysis'!D25:L25</xm:f>
              <xm:sqref>M25</xm:sqref>
            </x14:sparkline>
            <x14:sparkline>
              <xm:f>'Ratio Analysis'!D26:L26</xm:f>
              <xm:sqref>M26</xm:sqref>
            </x14:sparkline>
            <x14:sparkline>
              <xm:f>'Ratio Analysis'!D27:L27</xm:f>
              <xm:sqref>M27</xm:sqref>
            </x14:sparkline>
            <x14:sparkline>
              <xm:f>'Ratio Analysis'!D28:L28</xm:f>
              <xm:sqref>M28</xm:sqref>
            </x14:sparkline>
            <x14:sparkline>
              <xm:f>'Ratio Analysis'!D29:L29</xm:f>
              <xm:sqref>M29</xm:sqref>
            </x14:sparkline>
            <x14:sparkline>
              <xm:f>'Ratio Analysis'!D30:L30</xm:f>
              <xm:sqref>M30</xm:sqref>
            </x14:sparkline>
            <x14:sparkline>
              <xm:f>'Ratio Analysis'!D31:L31</xm:f>
              <xm:sqref>M31</xm:sqref>
            </x14:sparkline>
            <x14:sparkline>
              <xm:f>'Ratio Analysis'!D32:L32</xm:f>
              <xm:sqref>M32</xm:sqref>
            </x14:sparkline>
            <x14:sparkline>
              <xm:f>'Ratio Analysis'!D33:L33</xm:f>
              <xm:sqref>M33</xm:sqref>
            </x14:sparkline>
            <x14:sparkline>
              <xm:f>'Ratio Analysis'!D34:L34</xm:f>
              <xm:sqref>M34</xm:sqref>
            </x14:sparkline>
            <x14:sparkline>
              <xm:f>'Ratio Analysis'!D35:L35</xm:f>
              <xm:sqref>M35</xm:sqref>
            </x14:sparkline>
            <x14:sparkline>
              <xm:f>'Ratio Analysis'!D36:L36</xm:f>
              <xm:sqref>M36</xm:sqref>
            </x14:sparkline>
            <x14:sparkline>
              <xm:f>'Ratio Analysis'!D37:L37</xm:f>
              <xm:sqref>M37</xm:sqref>
            </x14:sparkline>
            <x14:sparkline>
              <xm:f>'Ratio Analysis'!D38:L38</xm:f>
              <xm:sqref>M38</xm:sqref>
            </x14:sparkline>
            <x14:sparkline>
              <xm:f>'Ratio Analysis'!D39:L39</xm:f>
              <xm:sqref>M39</xm:sqref>
            </x14:sparkline>
            <x14:sparkline>
              <xm:f>'Ratio Analysis'!D40:L40</xm:f>
              <xm:sqref>M40</xm:sqref>
            </x14:sparkline>
            <x14:sparkline>
              <xm:f>'Ratio Analysis'!D41:L41</xm:f>
              <xm:sqref>M41</xm:sqref>
            </x14:sparkline>
            <x14:sparkline>
              <xm:f>'Ratio Analysis'!D42:L42</xm:f>
              <xm:sqref>M42</xm:sqref>
            </x14:sparkline>
            <x14:sparkline>
              <xm:f>'Ratio Analysis'!D43:L43</xm:f>
              <xm:sqref>M43</xm:sqref>
            </x14:sparkline>
            <x14:sparkline>
              <xm:f>'Ratio Analysis'!D44:L44</xm:f>
              <xm:sqref>M44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F99B-BE49-4443-B451-36F9C10D7259}">
  <dimension ref="B2:V22"/>
  <sheetViews>
    <sheetView showGridLines="0" workbookViewId="0">
      <selection activeCell="C24" sqref="C24"/>
    </sheetView>
  </sheetViews>
  <sheetFormatPr defaultRowHeight="15" x14ac:dyDescent="0.25"/>
  <cols>
    <col min="1" max="1" width="1.85546875" customWidth="1"/>
    <col min="2" max="5" width="13.7109375" customWidth="1"/>
    <col min="6" max="6" width="1.85546875" customWidth="1"/>
    <col min="7" max="10" width="13.7109375" customWidth="1"/>
    <col min="11" max="11" width="1.85546875" customWidth="1"/>
    <col min="12" max="15" width="13.7109375" customWidth="1"/>
  </cols>
  <sheetData>
    <row r="2" spans="2:22" x14ac:dyDescent="0.25">
      <c r="B2" s="214" t="str">
        <f>'Data Sheet'!B1&amp;" - "&amp;'Data Sheet'!A17&amp;" FORCASTING "</f>
        <v xml:space="preserve">EICHER MOTORS LTD - Sales FORCASTING </v>
      </c>
      <c r="C2" s="214"/>
      <c r="D2" s="214"/>
      <c r="E2" s="214"/>
      <c r="G2" s="214" t="str">
        <f>'Data Sheet'!B1&amp;" - "&amp;HistoricalIFS!B17&amp;" FORCASTING "</f>
        <v xml:space="preserve">EICHER MOTORS LTD - EBIDTA FORCASTING </v>
      </c>
      <c r="H2" s="214"/>
      <c r="I2" s="214"/>
      <c r="J2" s="214"/>
      <c r="L2" s="66" t="str">
        <f>'Data Sheet'!B1&amp;" - "&amp;HistoricalIFS!B43&amp;" FORCASTING "</f>
        <v xml:space="preserve">EICHER MOTORS LTD - Earning Per Share(EPS) FORCASTING </v>
      </c>
      <c r="M2" s="66"/>
      <c r="N2" s="66"/>
      <c r="O2" s="66"/>
    </row>
    <row r="3" spans="2:22" x14ac:dyDescent="0.25">
      <c r="B3" s="187" t="s">
        <v>187</v>
      </c>
      <c r="C3" s="187" t="s">
        <v>93</v>
      </c>
      <c r="D3" s="187" t="s">
        <v>6</v>
      </c>
      <c r="E3" s="187" t="s">
        <v>22</v>
      </c>
      <c r="G3" s="187" t="s">
        <v>187</v>
      </c>
      <c r="H3" s="187" t="s">
        <v>93</v>
      </c>
      <c r="I3" s="187" t="s">
        <v>6</v>
      </c>
      <c r="J3" s="187" t="s">
        <v>22</v>
      </c>
      <c r="K3" s="25"/>
      <c r="L3" s="187" t="s">
        <v>187</v>
      </c>
      <c r="M3" s="187" t="s">
        <v>93</v>
      </c>
      <c r="N3" s="187" t="s">
        <v>6</v>
      </c>
      <c r="O3" s="187" t="s">
        <v>22</v>
      </c>
      <c r="P3" s="25"/>
      <c r="Q3" s="25"/>
      <c r="R3" s="25"/>
      <c r="S3" s="25"/>
      <c r="T3" s="25"/>
      <c r="U3" s="25"/>
    </row>
    <row r="4" spans="2:22" x14ac:dyDescent="0.25">
      <c r="B4" s="57">
        <v>1</v>
      </c>
      <c r="C4" s="58">
        <f>IFERROR('Data Sheet'!$B$16,0)</f>
        <v>42460</v>
      </c>
      <c r="D4" s="59">
        <f t="array" ref="D4:D13">TRANSPOSE(HistoricalIFS!C6:M6)</f>
        <v>6173.46</v>
      </c>
      <c r="E4" s="60"/>
      <c r="G4" s="57">
        <v>1</v>
      </c>
      <c r="H4" s="58">
        <f>C4</f>
        <v>42460</v>
      </c>
      <c r="I4" s="59">
        <f t="array" ref="I4:I13">TRANSPOSE(HistoricalIFS!C17:M17)</f>
        <v>1689.73</v>
      </c>
      <c r="J4" s="60"/>
      <c r="K4" s="36"/>
      <c r="L4" s="57">
        <v>1</v>
      </c>
      <c r="M4" s="58">
        <f>H4</f>
        <v>42460</v>
      </c>
      <c r="N4" s="59">
        <f t="array" ref="N4:N13">TRANSPOSE(HistoricalIFS!C43:M43)</f>
        <v>49.265095729013254</v>
      </c>
      <c r="O4" s="60"/>
      <c r="P4" s="36"/>
      <c r="Q4" s="36"/>
      <c r="R4" s="36"/>
      <c r="S4" s="36"/>
      <c r="T4" s="36"/>
      <c r="U4" s="36"/>
      <c r="V4" s="36"/>
    </row>
    <row r="5" spans="2:22" x14ac:dyDescent="0.25">
      <c r="B5" s="57">
        <f>B4+1</f>
        <v>2</v>
      </c>
      <c r="C5" s="58">
        <f>C4+365</f>
        <v>42825</v>
      </c>
      <c r="D5" s="59">
        <v>7033.36</v>
      </c>
      <c r="E5" s="61">
        <f>IFERROR(D5/D4-1,0)</f>
        <v>0.13928979858944568</v>
      </c>
      <c r="G5" s="57">
        <f t="shared" ref="G5:G18" si="0">G4+1</f>
        <v>2</v>
      </c>
      <c r="H5" s="58">
        <f t="shared" ref="H5:H18" si="1">H4+365</f>
        <v>42825</v>
      </c>
      <c r="I5" s="59">
        <v>2174.3099999999995</v>
      </c>
      <c r="J5" s="61">
        <f t="shared" ref="J5:J18" si="2">IFERROR(I5/I4-1,0)</f>
        <v>0.2867795446609811</v>
      </c>
      <c r="L5" s="57">
        <f>L4+1</f>
        <v>2</v>
      </c>
      <c r="M5" s="58">
        <f>M4+365</f>
        <v>42825</v>
      </c>
      <c r="N5" s="59">
        <v>62.957736126424095</v>
      </c>
      <c r="O5" s="61">
        <f>IFERROR(N5/N4-1,0)</f>
        <v>0.27793796388275283</v>
      </c>
    </row>
    <row r="6" spans="2:22" x14ac:dyDescent="0.25">
      <c r="B6" s="57">
        <f t="shared" ref="B6:B18" si="3">B5+1</f>
        <v>3</v>
      </c>
      <c r="C6" s="58">
        <f t="shared" ref="C6:C18" si="4">C5+365</f>
        <v>43190</v>
      </c>
      <c r="D6" s="59">
        <v>8964.9599999999991</v>
      </c>
      <c r="E6" s="61">
        <f t="shared" ref="E6:E18" si="5">IFERROR(D6/D5-1,0)</f>
        <v>0.27463402982358365</v>
      </c>
      <c r="G6" s="57">
        <f t="shared" si="0"/>
        <v>3</v>
      </c>
      <c r="H6" s="58">
        <f t="shared" si="1"/>
        <v>43190</v>
      </c>
      <c r="I6" s="59">
        <v>2808.6299999999992</v>
      </c>
      <c r="J6" s="61">
        <f t="shared" si="2"/>
        <v>0.29173392938449427</v>
      </c>
      <c r="L6" s="57">
        <f t="shared" ref="L6:L18" si="6">L5+1</f>
        <v>3</v>
      </c>
      <c r="M6" s="58">
        <f t="shared" ref="M6:M18" si="7">M5+365</f>
        <v>43190</v>
      </c>
      <c r="N6" s="59">
        <v>79.960381511371949</v>
      </c>
      <c r="O6" s="61">
        <f t="shared" ref="O6:O18" si="8">IFERROR(N6/N5-1,0)</f>
        <v>0.27006443419129944</v>
      </c>
    </row>
    <row r="7" spans="2:22" x14ac:dyDescent="0.25">
      <c r="B7" s="57">
        <f t="shared" si="3"/>
        <v>4</v>
      </c>
      <c r="C7" s="58">
        <f t="shared" si="4"/>
        <v>43555</v>
      </c>
      <c r="D7" s="59">
        <v>9797.06</v>
      </c>
      <c r="E7" s="61">
        <f t="shared" si="5"/>
        <v>9.2816922774892507E-2</v>
      </c>
      <c r="G7" s="57">
        <f t="shared" si="0"/>
        <v>4</v>
      </c>
      <c r="H7" s="58">
        <f t="shared" si="1"/>
        <v>43555</v>
      </c>
      <c r="I7" s="59">
        <v>2904.2399999999989</v>
      </c>
      <c r="J7" s="61">
        <f t="shared" si="2"/>
        <v>3.4041507781373825E-2</v>
      </c>
      <c r="L7" s="57">
        <f t="shared" si="6"/>
        <v>4</v>
      </c>
      <c r="M7" s="58">
        <f t="shared" si="7"/>
        <v>43555</v>
      </c>
      <c r="N7" s="59">
        <v>81.38746334310845</v>
      </c>
      <c r="O7" s="61">
        <f t="shared" si="8"/>
        <v>1.7847361465296974E-2</v>
      </c>
    </row>
    <row r="8" spans="2:22" x14ac:dyDescent="0.25">
      <c r="B8" s="57">
        <f t="shared" si="3"/>
        <v>5</v>
      </c>
      <c r="C8" s="58">
        <f t="shared" si="4"/>
        <v>43920</v>
      </c>
      <c r="D8" s="59">
        <v>9153.58</v>
      </c>
      <c r="E8" s="61">
        <f t="shared" si="5"/>
        <v>-6.568092876842635E-2</v>
      </c>
      <c r="G8" s="57">
        <f t="shared" si="0"/>
        <v>5</v>
      </c>
      <c r="H8" s="58">
        <f t="shared" si="1"/>
        <v>43920</v>
      </c>
      <c r="I8" s="59">
        <v>2182.8900000000003</v>
      </c>
      <c r="J8" s="61">
        <f t="shared" si="2"/>
        <v>-0.24837823320386709</v>
      </c>
      <c r="L8" s="57">
        <f t="shared" si="6"/>
        <v>5</v>
      </c>
      <c r="M8" s="58">
        <f t="shared" si="7"/>
        <v>43920</v>
      </c>
      <c r="N8" s="59">
        <v>66.914683266202871</v>
      </c>
      <c r="O8" s="61">
        <f t="shared" si="8"/>
        <v>-0.17782566850489112</v>
      </c>
    </row>
    <row r="9" spans="2:22" x14ac:dyDescent="0.25">
      <c r="B9" s="57">
        <f t="shared" si="3"/>
        <v>6</v>
      </c>
      <c r="C9" s="58">
        <f t="shared" si="4"/>
        <v>44285</v>
      </c>
      <c r="D9" s="59">
        <v>8720.35</v>
      </c>
      <c r="E9" s="61">
        <f t="shared" si="5"/>
        <v>-4.732902318000165E-2</v>
      </c>
      <c r="G9" s="57">
        <f t="shared" si="0"/>
        <v>6</v>
      </c>
      <c r="H9" s="58">
        <f t="shared" si="1"/>
        <v>44285</v>
      </c>
      <c r="I9" s="59">
        <v>1783.23</v>
      </c>
      <c r="J9" s="61">
        <f t="shared" si="2"/>
        <v>-0.18308755823701617</v>
      </c>
      <c r="L9" s="57">
        <f t="shared" si="6"/>
        <v>6</v>
      </c>
      <c r="M9" s="58">
        <f t="shared" si="7"/>
        <v>44285</v>
      </c>
      <c r="N9" s="59">
        <v>49.282473472374676</v>
      </c>
      <c r="O9" s="61">
        <f t="shared" si="8"/>
        <v>-0.26350285069247026</v>
      </c>
    </row>
    <row r="10" spans="2:22" x14ac:dyDescent="0.25">
      <c r="B10" s="57">
        <f t="shared" si="3"/>
        <v>7</v>
      </c>
      <c r="C10" s="58">
        <f t="shared" si="4"/>
        <v>44650</v>
      </c>
      <c r="D10" s="59">
        <v>10297.83</v>
      </c>
      <c r="E10" s="61">
        <f t="shared" si="5"/>
        <v>0.18089640897441028</v>
      </c>
      <c r="G10" s="57">
        <f t="shared" si="0"/>
        <v>7</v>
      </c>
      <c r="H10" s="58">
        <f t="shared" si="1"/>
        <v>44650</v>
      </c>
      <c r="I10" s="59">
        <v>2177.5700000000002</v>
      </c>
      <c r="J10" s="61">
        <f t="shared" si="2"/>
        <v>0.22113804725133623</v>
      </c>
      <c r="L10" s="57">
        <f t="shared" si="6"/>
        <v>7</v>
      </c>
      <c r="M10" s="58">
        <f t="shared" si="7"/>
        <v>44650</v>
      </c>
      <c r="N10" s="59">
        <v>61.324067300658392</v>
      </c>
      <c r="O10" s="61">
        <f t="shared" si="8"/>
        <v>0.24433826023431315</v>
      </c>
    </row>
    <row r="11" spans="2:22" x14ac:dyDescent="0.25">
      <c r="B11" s="57">
        <f t="shared" si="3"/>
        <v>8</v>
      </c>
      <c r="C11" s="58">
        <f t="shared" si="4"/>
        <v>45015</v>
      </c>
      <c r="D11" s="59">
        <v>14442.18</v>
      </c>
      <c r="E11" s="61">
        <f t="shared" si="5"/>
        <v>0.40244886544058311</v>
      </c>
      <c r="G11" s="57">
        <f t="shared" si="0"/>
        <v>8</v>
      </c>
      <c r="H11" s="58">
        <f t="shared" si="1"/>
        <v>45015</v>
      </c>
      <c r="I11" s="59">
        <v>3445.7200000000007</v>
      </c>
      <c r="J11" s="61">
        <f t="shared" si="2"/>
        <v>0.58236933829911353</v>
      </c>
      <c r="L11" s="57">
        <f t="shared" si="6"/>
        <v>8</v>
      </c>
      <c r="M11" s="58">
        <f t="shared" si="7"/>
        <v>45015</v>
      </c>
      <c r="N11" s="59">
        <v>106.54259597806217</v>
      </c>
      <c r="O11" s="61">
        <f t="shared" si="8"/>
        <v>0.73737001911023436</v>
      </c>
    </row>
    <row r="12" spans="2:22" x14ac:dyDescent="0.25">
      <c r="B12" s="57">
        <f t="shared" si="3"/>
        <v>9</v>
      </c>
      <c r="C12" s="58">
        <f t="shared" si="4"/>
        <v>45380</v>
      </c>
      <c r="D12" s="59">
        <v>16535.78</v>
      </c>
      <c r="E12" s="61">
        <f t="shared" si="5"/>
        <v>0.14496426439775711</v>
      </c>
      <c r="G12" s="57">
        <f t="shared" si="0"/>
        <v>9</v>
      </c>
      <c r="H12" s="58">
        <f t="shared" si="1"/>
        <v>45380</v>
      </c>
      <c r="I12" s="59">
        <v>4329.3699999999972</v>
      </c>
      <c r="J12" s="61">
        <f t="shared" si="2"/>
        <v>0.25644857968726309</v>
      </c>
      <c r="L12" s="57">
        <f t="shared" si="6"/>
        <v>9</v>
      </c>
      <c r="M12" s="58">
        <f t="shared" si="7"/>
        <v>45380</v>
      </c>
      <c r="N12" s="59">
        <v>146.12892622352069</v>
      </c>
      <c r="O12" s="61">
        <f t="shared" si="8"/>
        <v>0.37155402383483893</v>
      </c>
    </row>
    <row r="13" spans="2:22" x14ac:dyDescent="0.25">
      <c r="B13" s="57">
        <f t="shared" si="3"/>
        <v>10</v>
      </c>
      <c r="C13" s="58">
        <f t="shared" si="4"/>
        <v>45745</v>
      </c>
      <c r="D13" s="59">
        <v>18870.349999999999</v>
      </c>
      <c r="E13" s="61">
        <f t="shared" si="5"/>
        <v>0.14118293784750402</v>
      </c>
      <c r="G13" s="57">
        <f t="shared" si="0"/>
        <v>10</v>
      </c>
      <c r="H13" s="58">
        <f t="shared" si="1"/>
        <v>45745</v>
      </c>
      <c r="I13" s="59">
        <v>4722.5699999999979</v>
      </c>
      <c r="J13" s="61">
        <f t="shared" si="2"/>
        <v>9.0821528305504273E-2</v>
      </c>
      <c r="L13" s="57">
        <f t="shared" si="6"/>
        <v>10</v>
      </c>
      <c r="M13" s="58">
        <f t="shared" si="7"/>
        <v>45745</v>
      </c>
      <c r="N13" s="59">
        <v>172.66374908825665</v>
      </c>
      <c r="O13" s="61">
        <f t="shared" si="8"/>
        <v>0.18158501229351365</v>
      </c>
    </row>
    <row r="14" spans="2:22" x14ac:dyDescent="0.25">
      <c r="B14" s="62">
        <f t="shared" si="3"/>
        <v>11</v>
      </c>
      <c r="C14" s="63">
        <f t="shared" si="4"/>
        <v>46110</v>
      </c>
      <c r="D14" s="64">
        <f>FORECAST(B13,$D$4:$D$13,$B$4:$B$13)</f>
        <v>16705.549090909091</v>
      </c>
      <c r="E14" s="65">
        <f t="shared" si="5"/>
        <v>-0.1147197009642591</v>
      </c>
      <c r="G14" s="62">
        <f t="shared" si="0"/>
        <v>11</v>
      </c>
      <c r="H14" s="63">
        <f t="shared" si="1"/>
        <v>46110</v>
      </c>
      <c r="I14" s="64">
        <f>FORECAST(G13,$I$4:$I$13,$G$4:$G$13)</f>
        <v>3994.1921818181809</v>
      </c>
      <c r="J14" s="65">
        <f t="shared" si="2"/>
        <v>-0.15423335560548967</v>
      </c>
      <c r="L14" s="62">
        <f t="shared" si="6"/>
        <v>11</v>
      </c>
      <c r="M14" s="63">
        <f t="shared" si="7"/>
        <v>46110</v>
      </c>
      <c r="N14" s="64">
        <f>FORECAST(L13,$N$4:$N$13,$L$4:$L$13)</f>
        <v>135.31203225822128</v>
      </c>
      <c r="O14" s="65">
        <f t="shared" si="8"/>
        <v>-0.21632633964725934</v>
      </c>
    </row>
    <row r="15" spans="2:22" x14ac:dyDescent="0.25">
      <c r="B15" s="62">
        <f t="shared" si="3"/>
        <v>12</v>
      </c>
      <c r="C15" s="63">
        <f t="shared" si="4"/>
        <v>46475</v>
      </c>
      <c r="D15" s="64">
        <f t="shared" ref="D15:D18" si="9">FORECAST(B14,$D$4:$D$13,$B$4:$B$13)</f>
        <v>17973.695333333333</v>
      </c>
      <c r="E15" s="65">
        <f t="shared" si="5"/>
        <v>7.5911676744247147E-2</v>
      </c>
      <c r="G15" s="62">
        <f t="shared" si="0"/>
        <v>12</v>
      </c>
      <c r="H15" s="63">
        <f t="shared" si="1"/>
        <v>46475</v>
      </c>
      <c r="I15" s="64">
        <f>FORECAST(G14,$I$4:$I$13,$G$4:$G$13)</f>
        <v>4254.7179999999989</v>
      </c>
      <c r="J15" s="65">
        <f t="shared" si="2"/>
        <v>6.5226159964898001E-2</v>
      </c>
      <c r="L15" s="62">
        <f t="shared" si="6"/>
        <v>12</v>
      </c>
      <c r="M15" s="63">
        <f t="shared" si="7"/>
        <v>46475</v>
      </c>
      <c r="N15" s="64">
        <f>FORECAST(L14,$N$4:$N$13,$L$4:$L$13)</f>
        <v>145.90521338140397</v>
      </c>
      <c r="O15" s="65">
        <f t="shared" si="8"/>
        <v>7.8287059520082414E-2</v>
      </c>
    </row>
    <row r="16" spans="2:22" x14ac:dyDescent="0.25">
      <c r="B16" s="62">
        <f t="shared" si="3"/>
        <v>13</v>
      </c>
      <c r="C16" s="63">
        <f t="shared" si="4"/>
        <v>46840</v>
      </c>
      <c r="D16" s="64">
        <f t="shared" si="9"/>
        <v>19241.841575757575</v>
      </c>
      <c r="E16" s="65">
        <f t="shared" si="5"/>
        <v>7.0555676999397354E-2</v>
      </c>
      <c r="G16" s="62">
        <f t="shared" si="0"/>
        <v>13</v>
      </c>
      <c r="H16" s="63">
        <f t="shared" si="1"/>
        <v>46840</v>
      </c>
      <c r="I16" s="64">
        <f>FORECAST(G15,$I$4:$I$13,$G$4:$G$13)</f>
        <v>4515.243818181817</v>
      </c>
      <c r="J16" s="65">
        <f t="shared" si="2"/>
        <v>6.1232217548100376E-2</v>
      </c>
      <c r="L16" s="62">
        <f t="shared" si="6"/>
        <v>13</v>
      </c>
      <c r="M16" s="63">
        <f t="shared" si="7"/>
        <v>46840</v>
      </c>
      <c r="N16" s="64">
        <f>FORECAST(L15,$N$4:$N$13,$L$4:$L$13)</f>
        <v>156.49839450458663</v>
      </c>
      <c r="O16" s="65">
        <f t="shared" si="8"/>
        <v>7.2603170768761549E-2</v>
      </c>
    </row>
    <row r="17" spans="2:15" x14ac:dyDescent="0.25">
      <c r="B17" s="62">
        <f t="shared" si="3"/>
        <v>14</v>
      </c>
      <c r="C17" s="63">
        <f t="shared" si="4"/>
        <v>47205</v>
      </c>
      <c r="D17" s="64">
        <f t="shared" si="9"/>
        <v>20509.987818181817</v>
      </c>
      <c r="E17" s="65">
        <f t="shared" si="5"/>
        <v>6.5905658636227216E-2</v>
      </c>
      <c r="G17" s="62">
        <f t="shared" si="0"/>
        <v>14</v>
      </c>
      <c r="H17" s="63">
        <f t="shared" si="1"/>
        <v>47205</v>
      </c>
      <c r="I17" s="64">
        <f>FORECAST(G16,$I$4:$I$13,$G$4:$G$13)</f>
        <v>4775.7696363636351</v>
      </c>
      <c r="J17" s="65">
        <f t="shared" si="2"/>
        <v>5.7699169451878252E-2</v>
      </c>
      <c r="L17" s="62">
        <f t="shared" si="6"/>
        <v>14</v>
      </c>
      <c r="M17" s="63">
        <f t="shared" si="7"/>
        <v>47205</v>
      </c>
      <c r="N17" s="64">
        <f>FORECAST(L16,$N$4:$N$13,$L$4:$L$13)</f>
        <v>167.09157562776929</v>
      </c>
      <c r="O17" s="65">
        <f t="shared" si="8"/>
        <v>6.7688752697537824E-2</v>
      </c>
    </row>
    <row r="18" spans="2:15" x14ac:dyDescent="0.25">
      <c r="B18" s="62">
        <f t="shared" si="3"/>
        <v>15</v>
      </c>
      <c r="C18" s="63">
        <f t="shared" si="4"/>
        <v>47570</v>
      </c>
      <c r="D18" s="64">
        <f t="shared" si="9"/>
        <v>21778.134060606062</v>
      </c>
      <c r="E18" s="65">
        <f t="shared" si="5"/>
        <v>6.1830667753983271E-2</v>
      </c>
      <c r="G18" s="62">
        <f t="shared" si="0"/>
        <v>15</v>
      </c>
      <c r="H18" s="63">
        <f t="shared" si="1"/>
        <v>47570</v>
      </c>
      <c r="I18" s="64">
        <f>FORECAST(G17,$I$4:$I$13,$G$4:$G$13)</f>
        <v>5036.2954545454531</v>
      </c>
      <c r="J18" s="65">
        <f t="shared" si="2"/>
        <v>5.4551588124796435E-2</v>
      </c>
      <c r="L18" s="62">
        <f t="shared" si="6"/>
        <v>15</v>
      </c>
      <c r="M18" s="63">
        <f t="shared" si="7"/>
        <v>47570</v>
      </c>
      <c r="N18" s="64">
        <f>FORECAST(L17,$N$4:$N$13,$L$4:$L$13)</f>
        <v>177.68475675095195</v>
      </c>
      <c r="O18" s="65">
        <f t="shared" si="8"/>
        <v>6.3397457851382955E-2</v>
      </c>
    </row>
    <row r="19" spans="2:15" x14ac:dyDescent="0.25">
      <c r="C19" s="56"/>
    </row>
    <row r="20" spans="2:15" x14ac:dyDescent="0.25">
      <c r="C20" s="56"/>
    </row>
    <row r="21" spans="2:15" x14ac:dyDescent="0.25">
      <c r="C21" s="56"/>
    </row>
    <row r="22" spans="2:15" x14ac:dyDescent="0.25">
      <c r="C22" s="56"/>
    </row>
  </sheetData>
  <sheetProtection algorithmName="SHA-512" hashValue="kzKOoQxwN3AIBzarJMFg/qYnVQMMPLLTWTNSjciYv9C1+rUAb5rXg+77Yz+KxhVdVDSEVMbVLrC1eYw4nQViUA==" saltValue="IHtsye7JRGVwRYy2eGnByg==" spinCount="100000" sheet="1" objects="1" scenarios="1"/>
  <mergeCells count="2">
    <mergeCell ref="B2:E2"/>
    <mergeCell ref="G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18E7-032D-44EB-9B8F-F51ADC2FF727}">
  <sheetPr>
    <pageSetUpPr autoPageBreaks="0"/>
  </sheetPr>
  <dimension ref="B1:W43"/>
  <sheetViews>
    <sheetView showGridLines="0" topLeftCell="B17" zoomScale="84" zoomScaleNormal="84" workbookViewId="0">
      <selection activeCell="B1" sqref="B1:J42"/>
    </sheetView>
  </sheetViews>
  <sheetFormatPr defaultRowHeight="15" x14ac:dyDescent="0.25"/>
  <cols>
    <col min="1" max="1" width="1.85546875" style="114" customWidth="1"/>
    <col min="2" max="10" width="14.140625" style="114" customWidth="1"/>
    <col min="11" max="11" width="13.85546875" style="114" customWidth="1"/>
    <col min="12" max="16384" width="9.140625" style="114"/>
  </cols>
  <sheetData>
    <row r="1" spans="2:23" x14ac:dyDescent="0.25">
      <c r="B1" s="217" t="s">
        <v>314</v>
      </c>
      <c r="C1" s="217"/>
      <c r="D1" s="217"/>
      <c r="E1" s="217"/>
      <c r="F1" s="217"/>
      <c r="G1" s="217"/>
      <c r="H1" s="217"/>
      <c r="I1" s="217"/>
      <c r="J1" s="217"/>
    </row>
    <row r="2" spans="2:23" x14ac:dyDescent="0.25">
      <c r="B2" s="217"/>
      <c r="C2" s="217"/>
      <c r="D2" s="217"/>
      <c r="E2" s="217"/>
      <c r="F2" s="217"/>
      <c r="G2" s="217"/>
      <c r="H2" s="217"/>
      <c r="I2" s="217"/>
      <c r="J2" s="217"/>
    </row>
    <row r="4" spans="2:23" x14ac:dyDescent="0.25">
      <c r="B4" s="218" t="s">
        <v>313</v>
      </c>
      <c r="C4" s="218"/>
      <c r="D4" s="218"/>
      <c r="E4" s="218"/>
      <c r="F4" s="218"/>
      <c r="G4" s="218"/>
      <c r="H4" s="218"/>
      <c r="I4" s="218"/>
      <c r="J4" s="218"/>
    </row>
    <row r="5" spans="2:23" s="151" customFormat="1" x14ac:dyDescent="0.25">
      <c r="B5" s="152"/>
      <c r="C5" s="152"/>
      <c r="D5" s="152"/>
      <c r="E5" s="152"/>
      <c r="F5" s="152"/>
      <c r="G5" s="152"/>
      <c r="H5" s="152"/>
      <c r="I5" s="152"/>
      <c r="J5" s="152"/>
    </row>
    <row r="6" spans="2:23" ht="15.75" thickBot="1" x14ac:dyDescent="0.3">
      <c r="B6" s="150" t="s">
        <v>312</v>
      </c>
    </row>
    <row r="7" spans="2:23" x14ac:dyDescent="0.25">
      <c r="B7" s="141"/>
      <c r="C7" s="141"/>
      <c r="D7" s="141"/>
      <c r="E7" s="141"/>
      <c r="F7" s="141"/>
      <c r="G7" s="149" t="s">
        <v>311</v>
      </c>
      <c r="H7" s="149" t="s">
        <v>310</v>
      </c>
      <c r="I7" s="149" t="s">
        <v>309</v>
      </c>
      <c r="J7" s="149" t="s">
        <v>308</v>
      </c>
    </row>
    <row r="8" spans="2:23" ht="18" thickBot="1" x14ac:dyDescent="0.3">
      <c r="B8" s="122" t="s">
        <v>307</v>
      </c>
      <c r="C8" s="122" t="s">
        <v>306</v>
      </c>
      <c r="D8" s="122" t="s">
        <v>285</v>
      </c>
      <c r="E8" s="122" t="s">
        <v>305</v>
      </c>
      <c r="F8" s="122" t="s">
        <v>304</v>
      </c>
      <c r="G8" s="148" t="s">
        <v>303</v>
      </c>
      <c r="H8" s="148" t="s">
        <v>302</v>
      </c>
      <c r="I8" s="148" t="s">
        <v>301</v>
      </c>
      <c r="J8" s="148" t="s">
        <v>300</v>
      </c>
      <c r="R8" s="153"/>
    </row>
    <row r="9" spans="2:23" x14ac:dyDescent="0.25">
      <c r="R9" s="154"/>
    </row>
    <row r="10" spans="2:23" x14ac:dyDescent="0.25">
      <c r="B10" s="147" t="s">
        <v>266</v>
      </c>
      <c r="C10" s="146" t="s">
        <v>299</v>
      </c>
      <c r="D10" s="145">
        <f>Data!F3</f>
        <v>19693.240000000002</v>
      </c>
      <c r="E10" s="145">
        <f>Data!E3</f>
        <v>275722.37</v>
      </c>
      <c r="F10" s="144">
        <v>0.3</v>
      </c>
      <c r="G10" s="116">
        <f>D10/E10</f>
        <v>7.142416482202732E-2</v>
      </c>
      <c r="H10" s="116">
        <f>D10/(D10+E10)</f>
        <v>6.666282800695604E-2</v>
      </c>
      <c r="I10" s="143">
        <v>1.27</v>
      </c>
      <c r="J10" s="131">
        <f>I10/(1+(1-F10)*G10)</f>
        <v>1.2095273627979377</v>
      </c>
    </row>
    <row r="11" spans="2:23" x14ac:dyDescent="0.25">
      <c r="B11" s="147" t="s">
        <v>265</v>
      </c>
      <c r="C11" s="146" t="s">
        <v>299</v>
      </c>
      <c r="D11" s="145">
        <f>Data!F4</f>
        <v>445.78</v>
      </c>
      <c r="E11" s="145">
        <f>Data!E4</f>
        <v>195532.53</v>
      </c>
      <c r="F11" s="144">
        <v>0.3</v>
      </c>
      <c r="G11" s="116">
        <f>D11/E11</f>
        <v>2.279825254652001E-3</v>
      </c>
      <c r="H11" s="116">
        <f>D11/(D11+E11)</f>
        <v>2.2746394741336427E-3</v>
      </c>
      <c r="I11" s="143">
        <v>0.97</v>
      </c>
      <c r="J11" s="131">
        <f>I11/(1+(1-F11)*G11)</f>
        <v>0.96845446513668065</v>
      </c>
    </row>
    <row r="12" spans="2:23" x14ac:dyDescent="0.25">
      <c r="B12" s="147" t="s">
        <v>264</v>
      </c>
      <c r="C12" s="146" t="s">
        <v>299</v>
      </c>
      <c r="D12" s="145">
        <f>Data!F5</f>
        <v>31589.29</v>
      </c>
      <c r="E12" s="145">
        <f>Data!E5</f>
        <v>179587.67</v>
      </c>
      <c r="F12" s="144">
        <v>0.3</v>
      </c>
      <c r="G12" s="116">
        <f>D12/E12</f>
        <v>0.17589899128375572</v>
      </c>
      <c r="H12" s="116">
        <f>D12/(D12+E12)</f>
        <v>0.14958682045617097</v>
      </c>
      <c r="I12" s="143">
        <v>1.4</v>
      </c>
      <c r="J12" s="131">
        <f>I12/(1+(1-F12)*G12)</f>
        <v>1.2465172154314412</v>
      </c>
    </row>
    <row r="13" spans="2:23" x14ac:dyDescent="0.25">
      <c r="B13" s="147" t="s">
        <v>263</v>
      </c>
      <c r="C13" s="146" t="s">
        <v>299</v>
      </c>
      <c r="D13" s="145">
        <f>Data!F6</f>
        <v>718.07</v>
      </c>
      <c r="E13" s="145">
        <f>Data!E6</f>
        <v>105745.47</v>
      </c>
      <c r="F13" s="144">
        <v>0.3</v>
      </c>
      <c r="G13" s="116">
        <f>D13/E13</f>
        <v>6.7905509332929345E-3</v>
      </c>
      <c r="H13" s="116">
        <f>D13/(D13+E13)</f>
        <v>6.7447503624245442E-3</v>
      </c>
      <c r="I13" s="143">
        <v>1.1000000000000001</v>
      </c>
      <c r="J13" s="131">
        <f>I13/(1+(1-F13)*G13)</f>
        <v>1.0947960123416398</v>
      </c>
      <c r="W13" s="142"/>
    </row>
    <row r="14" spans="2:23" ht="15.75" thickBot="1" x14ac:dyDescent="0.3"/>
    <row r="15" spans="2:23" x14ac:dyDescent="0.25">
      <c r="E15" s="141" t="s">
        <v>298</v>
      </c>
      <c r="F15" s="140">
        <f>AVERAGE(F10:F13)</f>
        <v>0.3</v>
      </c>
      <c r="G15" s="140">
        <f>AVERAGE(G10:G13)</f>
        <v>6.4098383073431991E-2</v>
      </c>
      <c r="H15" s="140">
        <f>AVERAGE(H10:H13)</f>
        <v>5.63172595749213E-2</v>
      </c>
      <c r="I15" s="139">
        <f>AVERAGE(I10:I13)</f>
        <v>1.1850000000000001</v>
      </c>
      <c r="J15" s="139">
        <f>AVERAGE(J10:J13)</f>
        <v>1.1298237639269249</v>
      </c>
      <c r="N15" s="153"/>
    </row>
    <row r="16" spans="2:23" ht="15.75" thickBot="1" x14ac:dyDescent="0.3">
      <c r="E16" s="122" t="s">
        <v>186</v>
      </c>
      <c r="F16" s="138">
        <f>MEDIAN(F10:F13)</f>
        <v>0.3</v>
      </c>
      <c r="G16" s="138">
        <f>MEDIAN(G10:G13)</f>
        <v>3.9107357877660127E-2</v>
      </c>
      <c r="H16" s="138">
        <f>MEDIAN(H10:H13)</f>
        <v>3.6703789184690291E-2</v>
      </c>
      <c r="I16" s="137">
        <f>MEDIAN(I10:I13)</f>
        <v>1.1850000000000001</v>
      </c>
      <c r="J16" s="137">
        <f>MEDIAN(J10:J13)</f>
        <v>1.1521616875697887</v>
      </c>
      <c r="N16" s="154"/>
    </row>
    <row r="19" spans="2:17" ht="15.75" thickBot="1" x14ac:dyDescent="0.3">
      <c r="B19" s="189" t="s">
        <v>297</v>
      </c>
      <c r="C19" s="190"/>
      <c r="D19" s="190"/>
      <c r="E19" s="190"/>
      <c r="G19" s="189" t="s">
        <v>290</v>
      </c>
      <c r="H19" s="188"/>
      <c r="I19" s="188"/>
      <c r="J19" s="188"/>
      <c r="P19" s="155"/>
    </row>
    <row r="21" spans="2:17" x14ac:dyDescent="0.25">
      <c r="B21" s="114" t="s">
        <v>296</v>
      </c>
      <c r="C21" s="136"/>
      <c r="E21" s="136">
        <v>6.3817824008996341E-2</v>
      </c>
      <c r="G21" s="114" t="s">
        <v>295</v>
      </c>
      <c r="J21" s="136">
        <v>6.8599999999999994E-2</v>
      </c>
    </row>
    <row r="22" spans="2:17" x14ac:dyDescent="0.25">
      <c r="B22" s="114" t="s">
        <v>294</v>
      </c>
      <c r="C22" s="135"/>
      <c r="E22" s="118">
        <f>F13</f>
        <v>0.3</v>
      </c>
      <c r="G22" s="114" t="s">
        <v>293</v>
      </c>
      <c r="J22" s="118">
        <f>'Rm calculation '!F6-WACC!J21</f>
        <v>9.5692307692307715E-2</v>
      </c>
    </row>
    <row r="23" spans="2:17" ht="17.25" x14ac:dyDescent="0.25">
      <c r="B23" s="125" t="s">
        <v>292</v>
      </c>
      <c r="C23" s="134"/>
      <c r="D23" s="125"/>
      <c r="E23" s="133">
        <f>E21*(1-E22)</f>
        <v>4.4672476806297434E-2</v>
      </c>
      <c r="G23" s="114" t="s">
        <v>291</v>
      </c>
      <c r="J23" s="131">
        <f>J33</f>
        <v>1.2002929187941125</v>
      </c>
      <c r="Q23" s="154"/>
    </row>
    <row r="24" spans="2:17" x14ac:dyDescent="0.25">
      <c r="G24" s="125" t="s">
        <v>290</v>
      </c>
      <c r="H24" s="125"/>
      <c r="I24" s="125"/>
      <c r="J24" s="133">
        <f>J21+J22*J23</f>
        <v>0.18345879930614434</v>
      </c>
    </row>
    <row r="28" spans="2:17" ht="15.75" thickBot="1" x14ac:dyDescent="0.3">
      <c r="B28" s="189" t="s">
        <v>289</v>
      </c>
      <c r="C28" s="188"/>
      <c r="D28" s="188"/>
      <c r="E28" s="188"/>
      <c r="G28" s="189" t="s">
        <v>282</v>
      </c>
      <c r="H28" s="188"/>
      <c r="I28" s="188"/>
      <c r="J28" s="188"/>
    </row>
    <row r="29" spans="2:17" x14ac:dyDescent="0.25">
      <c r="P29" s="155"/>
    </row>
    <row r="30" spans="2:17" ht="15.75" thickBot="1" x14ac:dyDescent="0.3">
      <c r="D30" s="132" t="s">
        <v>288</v>
      </c>
      <c r="E30" s="132" t="s">
        <v>287</v>
      </c>
      <c r="G30" s="114" t="s">
        <v>286</v>
      </c>
      <c r="J30" s="131">
        <f>J16</f>
        <v>1.1521616875697887</v>
      </c>
    </row>
    <row r="31" spans="2:17" x14ac:dyDescent="0.25">
      <c r="B31" s="114" t="s">
        <v>285</v>
      </c>
      <c r="C31" s="130">
        <f>D11</f>
        <v>445.78</v>
      </c>
      <c r="D31" s="116">
        <f>C31/C33</f>
        <v>2.2746394741336427E-3</v>
      </c>
      <c r="E31" s="118">
        <f>H15</f>
        <v>5.63172595749213E-2</v>
      </c>
      <c r="G31" s="114" t="s">
        <v>284</v>
      </c>
      <c r="J31" s="118">
        <f>E36</f>
        <v>5.9678170599531552E-2</v>
      </c>
    </row>
    <row r="32" spans="2:17" x14ac:dyDescent="0.25">
      <c r="B32" s="114" t="s">
        <v>79</v>
      </c>
      <c r="C32" s="130">
        <f>E11</f>
        <v>195532.53</v>
      </c>
      <c r="D32" s="129">
        <f>C32/C33</f>
        <v>0.99772536052586636</v>
      </c>
      <c r="E32" s="118">
        <f>E33-E31</f>
        <v>0.94368274042507871</v>
      </c>
      <c r="G32" s="114" t="s">
        <v>251</v>
      </c>
      <c r="J32" s="128">
        <f>E22</f>
        <v>0.3</v>
      </c>
    </row>
    <row r="33" spans="2:10" x14ac:dyDescent="0.25">
      <c r="B33" s="125" t="s">
        <v>283</v>
      </c>
      <c r="C33" s="125">
        <f>SUM(C31:C32)</f>
        <v>195978.31</v>
      </c>
      <c r="D33" s="127">
        <f>C33/C33</f>
        <v>1</v>
      </c>
      <c r="E33" s="127">
        <f>D33/D33</f>
        <v>1</v>
      </c>
      <c r="G33" s="126" t="s">
        <v>282</v>
      </c>
      <c r="H33" s="125"/>
      <c r="I33" s="125"/>
      <c r="J33" s="124">
        <f>J30*(1+(1-J32)*J31)</f>
        <v>1.2002929187941125</v>
      </c>
    </row>
    <row r="36" spans="2:10" ht="15.75" thickBot="1" x14ac:dyDescent="0.3">
      <c r="B36" s="114" t="s">
        <v>281</v>
      </c>
      <c r="C36" s="116"/>
      <c r="D36" s="123">
        <f>D31/D32</f>
        <v>2.279825254652001E-3</v>
      </c>
      <c r="E36" s="123">
        <f>E31/E32</f>
        <v>5.9678170599531552E-2</v>
      </c>
      <c r="G36" s="189" t="s">
        <v>280</v>
      </c>
      <c r="H36" s="188"/>
      <c r="I36" s="188"/>
      <c r="J36" s="188"/>
    </row>
    <row r="37" spans="2:10" x14ac:dyDescent="0.25">
      <c r="G37" s="114" t="s">
        <v>279</v>
      </c>
      <c r="I37" s="118"/>
      <c r="J37" s="118">
        <f>J24</f>
        <v>0.18345879930614434</v>
      </c>
    </row>
    <row r="38" spans="2:10" x14ac:dyDescent="0.25">
      <c r="G38" s="114" t="s">
        <v>278</v>
      </c>
      <c r="J38" s="118">
        <f>E32</f>
        <v>0.94368274042507871</v>
      </c>
    </row>
    <row r="40" spans="2:10" x14ac:dyDescent="0.25">
      <c r="G40" s="114" t="s">
        <v>277</v>
      </c>
      <c r="J40" s="118">
        <f>E23</f>
        <v>4.4672476806297434E-2</v>
      </c>
    </row>
    <row r="41" spans="2:10" x14ac:dyDescent="0.25">
      <c r="G41" s="114" t="s">
        <v>276</v>
      </c>
      <c r="J41" s="118">
        <f>E31</f>
        <v>5.63172595749213E-2</v>
      </c>
    </row>
    <row r="42" spans="2:10" ht="15.75" thickBot="1" x14ac:dyDescent="0.3">
      <c r="G42" s="191" t="s">
        <v>275</v>
      </c>
      <c r="H42" s="191"/>
      <c r="I42" s="191"/>
      <c r="J42" s="192">
        <f>(J37*J38)+(J40*J41)</f>
        <v>0.1756427339564717</v>
      </c>
    </row>
    <row r="43" spans="2:10" ht="15.75" thickTop="1" x14ac:dyDescent="0.25"/>
  </sheetData>
  <sheetProtection algorithmName="SHA-512" hashValue="Qp2P2QlgYJDWTvojCJnsdF+wht7oCwL2hkUHUTkLLmxa+lKDDcwQ+gTq6Tdz2F041PwqZN0jtI1S+EH38BENLA==" saltValue="wA0ABG8rZ+cTeYuL5DD9Hg==" spinCount="100000" sheet="1" objects="1" scenarios="1"/>
  <mergeCells count="2">
    <mergeCell ref="B1:J2"/>
    <mergeCell ref="B4:J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72C-2F8F-4219-92B7-BE5B0BFB65B6}">
  <dimension ref="A1:I68"/>
  <sheetViews>
    <sheetView showGridLines="0" topLeftCell="A14" workbookViewId="0">
      <selection activeCell="D15" sqref="D15"/>
    </sheetView>
  </sheetViews>
  <sheetFormatPr defaultRowHeight="15" x14ac:dyDescent="0.25"/>
  <cols>
    <col min="1" max="1" width="1.85546875" customWidth="1"/>
    <col min="2" max="2" width="24.85546875" bestFit="1" customWidth="1"/>
    <col min="3" max="6" width="11.28515625" customWidth="1"/>
    <col min="7" max="7" width="10.85546875" customWidth="1"/>
    <col min="8" max="9" width="11.28515625" customWidth="1"/>
  </cols>
  <sheetData>
    <row r="1" spans="1:9" x14ac:dyDescent="0.25">
      <c r="B1" s="221" t="s">
        <v>247</v>
      </c>
      <c r="C1" s="221"/>
      <c r="D1" s="221"/>
      <c r="E1" s="221"/>
      <c r="F1" s="221"/>
      <c r="G1" s="221"/>
      <c r="H1" s="221"/>
      <c r="I1" s="221"/>
    </row>
    <row r="2" spans="1:9" x14ac:dyDescent="0.25">
      <c r="B2" s="221"/>
      <c r="C2" s="221"/>
      <c r="D2" s="221"/>
      <c r="E2" s="221"/>
      <c r="F2" s="221"/>
      <c r="G2" s="221"/>
      <c r="H2" s="221"/>
      <c r="I2" s="221"/>
    </row>
    <row r="3" spans="1:9" s="26" customFormat="1" ht="15.75" customHeight="1" x14ac:dyDescent="0.25">
      <c r="B3" s="111"/>
      <c r="C3" s="111"/>
      <c r="D3" s="111"/>
      <c r="E3" s="111"/>
      <c r="F3" s="111"/>
      <c r="G3" s="111"/>
      <c r="H3" s="111"/>
      <c r="I3" s="111"/>
    </row>
    <row r="4" spans="1:9" x14ac:dyDescent="0.25">
      <c r="B4" s="66" t="s">
        <v>216</v>
      </c>
      <c r="C4" s="66"/>
      <c r="D4" s="67">
        <f>'Raw Data'!C4</f>
        <v>43891</v>
      </c>
      <c r="E4" s="67">
        <f>'Raw Data'!D4</f>
        <v>44256</v>
      </c>
      <c r="F4" s="67">
        <f>'Raw Data'!E4</f>
        <v>44621</v>
      </c>
      <c r="G4" s="67">
        <f>'Raw Data'!F4</f>
        <v>44986</v>
      </c>
      <c r="H4" s="67">
        <f>'Raw Data'!G4</f>
        <v>45352</v>
      </c>
      <c r="I4" s="67">
        <f>'Raw Data'!H4</f>
        <v>45717</v>
      </c>
    </row>
    <row r="5" spans="1:9" s="26" customFormat="1" x14ac:dyDescent="0.25">
      <c r="B5" s="27"/>
      <c r="C5" s="27"/>
      <c r="D5" s="28"/>
      <c r="E5" s="28"/>
      <c r="F5" s="28"/>
      <c r="G5" s="28"/>
      <c r="H5" s="28"/>
      <c r="I5" s="28"/>
    </row>
    <row r="6" spans="1:9" x14ac:dyDescent="0.25">
      <c r="A6" t="s">
        <v>95</v>
      </c>
      <c r="B6" s="219" t="s">
        <v>230</v>
      </c>
      <c r="C6" s="219"/>
      <c r="D6" s="219"/>
      <c r="E6" s="219"/>
      <c r="F6" s="219"/>
      <c r="G6" s="219"/>
      <c r="H6" s="219"/>
      <c r="I6" s="219"/>
    </row>
    <row r="7" spans="1:9" x14ac:dyDescent="0.25">
      <c r="B7" s="2" t="s">
        <v>222</v>
      </c>
    </row>
    <row r="8" spans="1:9" x14ac:dyDescent="0.25">
      <c r="B8" s="69" t="str">
        <f>'Raw Data'!B34</f>
        <v>Inventories</v>
      </c>
      <c r="C8" s="69"/>
      <c r="D8" s="71">
        <f>'Raw Data'!C34</f>
        <v>572</v>
      </c>
      <c r="E8" s="71">
        <f>'Raw Data'!D34</f>
        <v>875</v>
      </c>
      <c r="F8" s="71">
        <f>'Raw Data'!E34</f>
        <v>1132</v>
      </c>
      <c r="G8" s="71">
        <f>'Raw Data'!F34</f>
        <v>1278</v>
      </c>
      <c r="H8" s="71">
        <f>'Raw Data'!G34</f>
        <v>1410</v>
      </c>
      <c r="I8" s="71">
        <f>'Raw Data'!H34</f>
        <v>1564</v>
      </c>
    </row>
    <row r="9" spans="1:9" x14ac:dyDescent="0.25">
      <c r="B9" s="69" t="str">
        <f>'Raw Data'!B35</f>
        <v>Trade receivables</v>
      </c>
      <c r="C9" s="69"/>
      <c r="D9" s="71">
        <f>'Raw Data'!C35</f>
        <v>87</v>
      </c>
      <c r="E9" s="71">
        <f>'Raw Data'!D35</f>
        <v>158</v>
      </c>
      <c r="F9" s="71">
        <f>'Raw Data'!E35</f>
        <v>302</v>
      </c>
      <c r="G9" s="71">
        <f>'Raw Data'!F35</f>
        <v>369</v>
      </c>
      <c r="H9" s="71">
        <f>'Raw Data'!G35</f>
        <v>374</v>
      </c>
      <c r="I9" s="71">
        <f>'Raw Data'!H35</f>
        <v>550</v>
      </c>
    </row>
    <row r="10" spans="1:9" x14ac:dyDescent="0.25">
      <c r="B10" s="69" t="str">
        <f>'Raw Data'!B37</f>
        <v>Loans n Advances</v>
      </c>
      <c r="C10" s="69"/>
      <c r="D10" s="71">
        <f>'Raw Data'!C37</f>
        <v>99</v>
      </c>
      <c r="E10" s="71">
        <f>'Raw Data'!D37</f>
        <v>594</v>
      </c>
      <c r="F10" s="71">
        <f>'Raw Data'!E37</f>
        <v>867</v>
      </c>
      <c r="G10" s="71">
        <f>'Raw Data'!F37</f>
        <v>835</v>
      </c>
      <c r="H10" s="71">
        <f>'Raw Data'!G37</f>
        <v>680</v>
      </c>
      <c r="I10" s="71">
        <f>'Raw Data'!H37</f>
        <v>725</v>
      </c>
    </row>
    <row r="11" spans="1:9" x14ac:dyDescent="0.25">
      <c r="B11" s="79" t="str">
        <f>'Raw Data'!B38</f>
        <v>Other asset items</v>
      </c>
      <c r="C11" s="79"/>
      <c r="D11" s="75">
        <f>'Raw Data'!C38</f>
        <v>303</v>
      </c>
      <c r="E11" s="75">
        <f>'Raw Data'!D38</f>
        <v>452</v>
      </c>
      <c r="F11" s="75">
        <f>'Raw Data'!E38</f>
        <v>466</v>
      </c>
      <c r="G11" s="75">
        <f>'Raw Data'!F38</f>
        <v>467</v>
      </c>
      <c r="H11" s="75">
        <f>'Raw Data'!G38</f>
        <v>3509</v>
      </c>
      <c r="I11" s="75">
        <f>'Raw Data'!H38</f>
        <v>5317</v>
      </c>
    </row>
    <row r="12" spans="1:9" ht="15.75" thickBot="1" x14ac:dyDescent="0.3">
      <c r="B12" s="80" t="s">
        <v>223</v>
      </c>
      <c r="C12" s="80"/>
      <c r="D12" s="81">
        <f>SUM(D8:D11)</f>
        <v>1061</v>
      </c>
      <c r="E12" s="81">
        <f t="shared" ref="E12:I12" si="0">SUM(E8:E11)</f>
        <v>2079</v>
      </c>
      <c r="F12" s="81">
        <f t="shared" si="0"/>
        <v>2767</v>
      </c>
      <c r="G12" s="81">
        <f t="shared" si="0"/>
        <v>2949</v>
      </c>
      <c r="H12" s="81">
        <f t="shared" si="0"/>
        <v>5973</v>
      </c>
      <c r="I12" s="81">
        <f t="shared" si="0"/>
        <v>8156</v>
      </c>
    </row>
    <row r="13" spans="1:9" x14ac:dyDescent="0.25">
      <c r="D13" s="72"/>
      <c r="E13" s="72"/>
      <c r="F13" s="72"/>
      <c r="G13" s="72" t="s">
        <v>217</v>
      </c>
      <c r="H13" s="72"/>
      <c r="I13" s="72"/>
    </row>
    <row r="14" spans="1:9" x14ac:dyDescent="0.25">
      <c r="B14" s="2" t="s">
        <v>224</v>
      </c>
      <c r="D14" s="72"/>
      <c r="E14" s="72"/>
      <c r="F14" s="72"/>
      <c r="G14" s="72"/>
      <c r="H14" s="72"/>
      <c r="I14" s="72"/>
    </row>
    <row r="15" spans="1:9" x14ac:dyDescent="0.25">
      <c r="B15" s="69" t="str">
        <f>'Raw Data'!B12</f>
        <v>Trade Payables</v>
      </c>
      <c r="C15" s="69"/>
      <c r="D15" s="71">
        <f>'Raw Data'!C12</f>
        <v>1008</v>
      </c>
      <c r="E15" s="71">
        <f>'Raw Data'!D12</f>
        <v>1513</v>
      </c>
      <c r="F15" s="71">
        <f>'Raw Data'!E12</f>
        <v>1788</v>
      </c>
      <c r="G15" s="71">
        <f>'Raw Data'!F12</f>
        <v>1810</v>
      </c>
      <c r="H15" s="71">
        <f>'Raw Data'!G12</f>
        <v>2090</v>
      </c>
      <c r="I15" s="71">
        <f>'Raw Data'!H12</f>
        <v>2530</v>
      </c>
    </row>
    <row r="16" spans="1:9" x14ac:dyDescent="0.25">
      <c r="B16" s="69" t="str">
        <f>'Raw Data'!B13</f>
        <v>Advance from Customers</v>
      </c>
      <c r="C16" s="69"/>
      <c r="D16" s="71">
        <f>'Raw Data'!C13</f>
        <v>61</v>
      </c>
      <c r="E16" s="71">
        <f>'Raw Data'!D13</f>
        <v>137</v>
      </c>
      <c r="F16" s="71">
        <f>'Raw Data'!E13</f>
        <v>148</v>
      </c>
      <c r="G16" s="71">
        <f>'Raw Data'!F13</f>
        <v>126</v>
      </c>
      <c r="H16" s="71">
        <f>'Raw Data'!G13</f>
        <v>0</v>
      </c>
      <c r="I16" s="71">
        <f>'Raw Data'!H13</f>
        <v>0</v>
      </c>
    </row>
    <row r="17" spans="1:9" x14ac:dyDescent="0.25">
      <c r="B17" s="69" t="str">
        <f>'Raw Data'!B14</f>
        <v>Other liability items</v>
      </c>
      <c r="C17" s="69"/>
      <c r="D17" s="71">
        <f>'Raw Data'!C14</f>
        <v>1151</v>
      </c>
      <c r="E17" s="71">
        <f>'Raw Data'!D14</f>
        <v>1251</v>
      </c>
      <c r="F17" s="71">
        <f>'Raw Data'!E14</f>
        <v>1488</v>
      </c>
      <c r="G17" s="71">
        <f>'Raw Data'!F14</f>
        <v>1982</v>
      </c>
      <c r="H17" s="71">
        <f>'Raw Data'!G14</f>
        <v>2560</v>
      </c>
      <c r="I17" s="71">
        <f>'Raw Data'!H14</f>
        <v>2890</v>
      </c>
    </row>
    <row r="18" spans="1:9" ht="15.75" thickBot="1" x14ac:dyDescent="0.3">
      <c r="B18" s="80" t="s">
        <v>223</v>
      </c>
      <c r="C18" s="80"/>
      <c r="D18" s="81">
        <f t="shared" ref="D18:I18" si="1">SUM(D15:D17)</f>
        <v>2220</v>
      </c>
      <c r="E18" s="81">
        <f t="shared" si="1"/>
        <v>2901</v>
      </c>
      <c r="F18" s="81">
        <f t="shared" si="1"/>
        <v>3424</v>
      </c>
      <c r="G18" s="81">
        <f t="shared" si="1"/>
        <v>3918</v>
      </c>
      <c r="H18" s="81">
        <f t="shared" si="1"/>
        <v>4650</v>
      </c>
      <c r="I18" s="81">
        <f t="shared" si="1"/>
        <v>5420</v>
      </c>
    </row>
    <row r="19" spans="1:9" x14ac:dyDescent="0.25">
      <c r="D19" s="72"/>
      <c r="E19" s="72"/>
      <c r="F19" s="72"/>
      <c r="G19" s="72"/>
      <c r="H19" s="72"/>
      <c r="I19" s="72"/>
    </row>
    <row r="20" spans="1:9" x14ac:dyDescent="0.25">
      <c r="A20" t="s">
        <v>95</v>
      </c>
      <c r="B20" s="82" t="s">
        <v>225</v>
      </c>
      <c r="C20" s="82"/>
      <c r="D20" s="83">
        <f t="shared" ref="D20:I20" si="2">D12-D18</f>
        <v>-1159</v>
      </c>
      <c r="E20" s="83">
        <f t="shared" si="2"/>
        <v>-822</v>
      </c>
      <c r="F20" s="83">
        <f t="shared" si="2"/>
        <v>-657</v>
      </c>
      <c r="G20" s="83">
        <f t="shared" si="2"/>
        <v>-969</v>
      </c>
      <c r="H20" s="83">
        <f t="shared" si="2"/>
        <v>1323</v>
      </c>
      <c r="I20" s="83">
        <f t="shared" si="2"/>
        <v>2736</v>
      </c>
    </row>
    <row r="23" spans="1:9" x14ac:dyDescent="0.25">
      <c r="B23" s="2" t="str">
        <f>'Raw Data'!B17</f>
        <v>Fixed Assets -</v>
      </c>
    </row>
    <row r="24" spans="1:9" x14ac:dyDescent="0.25">
      <c r="B24" s="69" t="str">
        <f>'Raw Data'!B18</f>
        <v>Land</v>
      </c>
      <c r="C24" s="69"/>
      <c r="D24" s="71">
        <f>'Raw Data'!C18</f>
        <v>182</v>
      </c>
      <c r="E24" s="71">
        <f>'Raw Data'!D18</f>
        <v>232</v>
      </c>
      <c r="F24" s="71">
        <f>'Raw Data'!E18</f>
        <v>230</v>
      </c>
      <c r="G24" s="71">
        <f>'Raw Data'!F18</f>
        <v>230</v>
      </c>
      <c r="H24" s="71">
        <f>'Raw Data'!G18</f>
        <v>227</v>
      </c>
      <c r="I24" s="71">
        <f>'Raw Data'!H18</f>
        <v>226</v>
      </c>
    </row>
    <row r="25" spans="1:9" x14ac:dyDescent="0.25">
      <c r="B25" s="69" t="str">
        <f>'Raw Data'!B19</f>
        <v>Building</v>
      </c>
      <c r="C25" s="69"/>
      <c r="D25" s="71">
        <f>'Raw Data'!C19</f>
        <v>871</v>
      </c>
      <c r="E25" s="71">
        <f>'Raw Data'!D19</f>
        <v>866</v>
      </c>
      <c r="F25" s="71">
        <f>'Raw Data'!E19</f>
        <v>867</v>
      </c>
      <c r="G25" s="71">
        <f>'Raw Data'!F19</f>
        <v>1051</v>
      </c>
      <c r="H25" s="71">
        <f>'Raw Data'!G19</f>
        <v>1086</v>
      </c>
      <c r="I25" s="71">
        <f>'Raw Data'!H19</f>
        <v>1396</v>
      </c>
    </row>
    <row r="26" spans="1:9" x14ac:dyDescent="0.25">
      <c r="B26" s="69" t="str">
        <f>'Raw Data'!B20</f>
        <v>Plant Machinery</v>
      </c>
      <c r="C26" s="69"/>
      <c r="D26" s="71">
        <f>'Raw Data'!C20</f>
        <v>1928</v>
      </c>
      <c r="E26" s="71">
        <f>'Raw Data'!D20</f>
        <v>2088</v>
      </c>
      <c r="F26" s="71">
        <f>'Raw Data'!E20</f>
        <v>2336</v>
      </c>
      <c r="G26" s="71">
        <f>'Raw Data'!F20</f>
        <v>2598</v>
      </c>
      <c r="H26" s="71">
        <f>'Raw Data'!G20</f>
        <v>2744</v>
      </c>
      <c r="I26" s="71">
        <f>'Raw Data'!H20</f>
        <v>3055</v>
      </c>
    </row>
    <row r="27" spans="1:9" x14ac:dyDescent="0.25">
      <c r="B27" s="69" t="str">
        <f>'Raw Data'!B21</f>
        <v>Equipments</v>
      </c>
      <c r="C27" s="69"/>
      <c r="D27" s="71">
        <f>'Raw Data'!C21</f>
        <v>188</v>
      </c>
      <c r="E27" s="71">
        <f>'Raw Data'!D21</f>
        <v>204</v>
      </c>
      <c r="F27" s="71">
        <f>'Raw Data'!E21</f>
        <v>226</v>
      </c>
      <c r="G27" s="71">
        <f>'Raw Data'!F21</f>
        <v>266</v>
      </c>
      <c r="H27" s="71">
        <f>'Raw Data'!G21</f>
        <v>231</v>
      </c>
      <c r="I27" s="71">
        <f>'Raw Data'!H21</f>
        <v>273</v>
      </c>
    </row>
    <row r="28" spans="1:9" x14ac:dyDescent="0.25">
      <c r="B28" s="69" t="str">
        <f>'Raw Data'!B22</f>
        <v>Furniture n fittings</v>
      </c>
      <c r="C28" s="69"/>
      <c r="D28" s="71">
        <f>'Raw Data'!C22</f>
        <v>34</v>
      </c>
      <c r="E28" s="71">
        <f>'Raw Data'!D22</f>
        <v>38</v>
      </c>
      <c r="F28" s="71">
        <f>'Raw Data'!E22</f>
        <v>37</v>
      </c>
      <c r="G28" s="71">
        <f>'Raw Data'!F22</f>
        <v>39</v>
      </c>
      <c r="H28" s="71">
        <f>'Raw Data'!G22</f>
        <v>42</v>
      </c>
      <c r="I28" s="71">
        <f>'Raw Data'!H22</f>
        <v>44</v>
      </c>
    </row>
    <row r="29" spans="1:9" x14ac:dyDescent="0.25">
      <c r="B29" s="69" t="str">
        <f>'Raw Data'!B23</f>
        <v>Vehicles</v>
      </c>
      <c r="C29" s="69"/>
      <c r="D29" s="71">
        <f>'Raw Data'!C23</f>
        <v>81</v>
      </c>
      <c r="E29" s="71">
        <f>'Raw Data'!D23</f>
        <v>97</v>
      </c>
      <c r="F29" s="71">
        <f>'Raw Data'!E23</f>
        <v>122</v>
      </c>
      <c r="G29" s="71">
        <f>'Raw Data'!F23</f>
        <v>137</v>
      </c>
      <c r="H29" s="71">
        <f>'Raw Data'!G23</f>
        <v>180</v>
      </c>
      <c r="I29" s="71">
        <f>'Raw Data'!H23</f>
        <v>224</v>
      </c>
    </row>
    <row r="30" spans="1:9" x14ac:dyDescent="0.25">
      <c r="B30" s="69" t="str">
        <f>'Raw Data'!B24</f>
        <v>Intangible Assets</v>
      </c>
      <c r="C30" s="69"/>
      <c r="D30" s="71">
        <f>'Raw Data'!C24</f>
        <v>0</v>
      </c>
      <c r="E30" s="71">
        <f>'Raw Data'!D24</f>
        <v>0</v>
      </c>
      <c r="F30" s="71">
        <f>'Raw Data'!E24</f>
        <v>0</v>
      </c>
      <c r="G30" s="71">
        <f>'Raw Data'!F24</f>
        <v>0</v>
      </c>
      <c r="H30" s="71">
        <f>'Raw Data'!G24</f>
        <v>0</v>
      </c>
      <c r="I30" s="71">
        <f>'Raw Data'!H24</f>
        <v>0</v>
      </c>
    </row>
    <row r="31" spans="1:9" x14ac:dyDescent="0.25">
      <c r="B31" s="69" t="str">
        <f>'Raw Data'!B25</f>
        <v>Other fixed assets</v>
      </c>
      <c r="C31" s="69"/>
      <c r="D31" s="71">
        <f>'Raw Data'!C25</f>
        <v>301</v>
      </c>
      <c r="E31" s="71">
        <f>'Raw Data'!D25</f>
        <v>523</v>
      </c>
      <c r="F31" s="71">
        <f>'Raw Data'!E25</f>
        <v>588</v>
      </c>
      <c r="G31" s="71">
        <f>'Raw Data'!F25</f>
        <v>820</v>
      </c>
      <c r="H31" s="71">
        <f>'Raw Data'!G25</f>
        <v>1177</v>
      </c>
      <c r="I31" s="71">
        <f>'Raw Data'!H25</f>
        <v>1501</v>
      </c>
    </row>
    <row r="32" spans="1:9" x14ac:dyDescent="0.25">
      <c r="B32" s="84" t="s">
        <v>206</v>
      </c>
      <c r="C32" s="84"/>
      <c r="D32" s="74">
        <f>SUM(D24:D31)</f>
        <v>3585</v>
      </c>
      <c r="E32" s="74">
        <f t="shared" ref="E32:I32" si="3">SUM(E24:E31)</f>
        <v>4048</v>
      </c>
      <c r="F32" s="74">
        <f t="shared" si="3"/>
        <v>4406</v>
      </c>
      <c r="G32" s="74">
        <f t="shared" si="3"/>
        <v>5141</v>
      </c>
      <c r="H32" s="74">
        <f t="shared" si="3"/>
        <v>5687</v>
      </c>
      <c r="I32" s="74">
        <f t="shared" si="3"/>
        <v>6719</v>
      </c>
    </row>
    <row r="33" spans="1:9" x14ac:dyDescent="0.25">
      <c r="B33" s="69" t="str">
        <f>'Raw Data'!B27</f>
        <v>Accumulated Depreciation</v>
      </c>
      <c r="C33" s="69"/>
      <c r="D33" s="71">
        <f>-'Raw Data'!C27</f>
        <v>-1208</v>
      </c>
      <c r="E33" s="71">
        <f>-'Raw Data'!D27</f>
        <v>-1616</v>
      </c>
      <c r="F33" s="71">
        <f>-'Raw Data'!E27</f>
        <v>-1981</v>
      </c>
      <c r="G33" s="71">
        <f>-'Raw Data'!F27</f>
        <v>-2452</v>
      </c>
      <c r="H33" s="71">
        <f>-'Raw Data'!G27</f>
        <v>-2772</v>
      </c>
      <c r="I33" s="71">
        <f>-'Raw Data'!H27</f>
        <v>-3245</v>
      </c>
    </row>
    <row r="34" spans="1:9" ht="15.75" thickBot="1" x14ac:dyDescent="0.3">
      <c r="B34" s="80" t="s">
        <v>226</v>
      </c>
      <c r="C34" s="80"/>
      <c r="D34" s="81">
        <f>SUM(D32:D33)</f>
        <v>2377</v>
      </c>
      <c r="E34" s="81">
        <f t="shared" ref="E34:I34" si="4">SUM(E32:E33)</f>
        <v>2432</v>
      </c>
      <c r="F34" s="81">
        <f t="shared" si="4"/>
        <v>2425</v>
      </c>
      <c r="G34" s="81">
        <f t="shared" si="4"/>
        <v>2689</v>
      </c>
      <c r="H34" s="81">
        <f t="shared" si="4"/>
        <v>2915</v>
      </c>
      <c r="I34" s="81">
        <f t="shared" si="4"/>
        <v>3474</v>
      </c>
    </row>
    <row r="36" spans="1:9" x14ac:dyDescent="0.25">
      <c r="A36" t="s">
        <v>95</v>
      </c>
      <c r="B36" s="84" t="s">
        <v>227</v>
      </c>
      <c r="C36" s="84"/>
      <c r="D36" s="86">
        <f t="shared" ref="D36:I36" si="5">D34+D20</f>
        <v>1218</v>
      </c>
      <c r="E36" s="86">
        <f t="shared" si="5"/>
        <v>1610</v>
      </c>
      <c r="F36" s="86">
        <f t="shared" si="5"/>
        <v>1768</v>
      </c>
      <c r="G36" s="86">
        <f t="shared" si="5"/>
        <v>1720</v>
      </c>
      <c r="H36" s="86">
        <f t="shared" si="5"/>
        <v>4238</v>
      </c>
      <c r="I36" s="86">
        <f t="shared" si="5"/>
        <v>6210</v>
      </c>
    </row>
    <row r="37" spans="1:9" x14ac:dyDescent="0.25">
      <c r="B37" s="84" t="s">
        <v>228</v>
      </c>
      <c r="C37" s="69"/>
      <c r="D37" s="86">
        <f>HistoricalIFS!G26</f>
        <v>1801.3500000000004</v>
      </c>
      <c r="E37" s="86">
        <f>HistoricalIFS!H26</f>
        <v>1332.5</v>
      </c>
      <c r="F37" s="86">
        <f>HistoricalIFS!I26</f>
        <v>1725.64</v>
      </c>
      <c r="G37" s="86">
        <f>HistoricalIFS!J26</f>
        <v>2919.5100000000007</v>
      </c>
      <c r="H37" s="86">
        <f>HistoricalIFS!K26</f>
        <v>3731.7699999999973</v>
      </c>
      <c r="I37" s="86">
        <f>HistoricalIFS!L26</f>
        <v>3993.239999999998</v>
      </c>
    </row>
    <row r="39" spans="1:9" ht="15.75" thickBot="1" x14ac:dyDescent="0.3">
      <c r="A39" t="s">
        <v>95</v>
      </c>
      <c r="B39" s="80" t="s">
        <v>229</v>
      </c>
      <c r="C39" s="80"/>
      <c r="D39" s="87">
        <f>D37/D36</f>
        <v>1.4789408866995077</v>
      </c>
      <c r="E39" s="87">
        <f t="shared" ref="E39:I39" si="6">E37/E36</f>
        <v>0.82763975155279501</v>
      </c>
      <c r="F39" s="87">
        <f t="shared" si="6"/>
        <v>0.97604072398190056</v>
      </c>
      <c r="G39" s="87">
        <f t="shared" si="6"/>
        <v>1.6973895348837214</v>
      </c>
      <c r="H39" s="87">
        <f t="shared" si="6"/>
        <v>0.8805497876356766</v>
      </c>
      <c r="I39" s="87">
        <f t="shared" si="6"/>
        <v>0.64303381642512047</v>
      </c>
    </row>
    <row r="41" spans="1:9" x14ac:dyDescent="0.25">
      <c r="A41" t="s">
        <v>95</v>
      </c>
      <c r="B41" s="220" t="s">
        <v>231</v>
      </c>
      <c r="C41" s="220"/>
      <c r="D41" s="220"/>
      <c r="E41" s="220"/>
      <c r="F41" s="220"/>
      <c r="G41" s="220"/>
      <c r="H41" s="220"/>
      <c r="I41" s="220"/>
    </row>
    <row r="43" spans="1:9" x14ac:dyDescent="0.25">
      <c r="B43" s="2" t="s">
        <v>232</v>
      </c>
    </row>
    <row r="44" spans="1:9" x14ac:dyDescent="0.25">
      <c r="B44" s="105" t="str">
        <f>'Raw Data'!B59</f>
        <v>Fixed assets purchased</v>
      </c>
      <c r="C44" s="105"/>
      <c r="D44" s="106">
        <f>'Raw Data'!C59</f>
        <v>-546</v>
      </c>
      <c r="E44" s="106">
        <f>'Raw Data'!D59</f>
        <v>-532</v>
      </c>
      <c r="F44" s="106">
        <f>'Raw Data'!E59</f>
        <v>-641</v>
      </c>
      <c r="G44" s="106">
        <f>'Raw Data'!F59</f>
        <v>-682</v>
      </c>
      <c r="H44" s="106">
        <f>'Raw Data'!G59</f>
        <v>-819</v>
      </c>
      <c r="I44" s="106">
        <f>'Raw Data'!H59</f>
        <v>-1039</v>
      </c>
    </row>
    <row r="45" spans="1:9" x14ac:dyDescent="0.25">
      <c r="B45" s="100" t="str">
        <f>'Raw Data'!B60</f>
        <v>Fixed assets sold</v>
      </c>
      <c r="C45" s="100"/>
      <c r="D45" s="76">
        <f>'Raw Data'!C60</f>
        <v>1</v>
      </c>
      <c r="E45" s="76">
        <f>'Raw Data'!D60</f>
        <v>17</v>
      </c>
      <c r="F45" s="76">
        <f>'Raw Data'!E60</f>
        <v>2</v>
      </c>
      <c r="G45" s="76">
        <f>'Raw Data'!F60</f>
        <v>9</v>
      </c>
      <c r="H45" s="76">
        <f>'Raw Data'!G60</f>
        <v>4</v>
      </c>
      <c r="I45" s="76">
        <f>'Raw Data'!H60</f>
        <v>11</v>
      </c>
    </row>
    <row r="46" spans="1:9" x14ac:dyDescent="0.25">
      <c r="B46" s="2" t="s">
        <v>238</v>
      </c>
      <c r="C46" s="107"/>
      <c r="D46" s="75">
        <f>-SUM(D44:D45)</f>
        <v>545</v>
      </c>
      <c r="E46" s="75">
        <f t="shared" ref="E46:I46" si="7">-SUM(E44:E45)</f>
        <v>515</v>
      </c>
      <c r="F46" s="75">
        <f t="shared" si="7"/>
        <v>639</v>
      </c>
      <c r="G46" s="75">
        <f t="shared" si="7"/>
        <v>673</v>
      </c>
      <c r="H46" s="75">
        <f t="shared" si="7"/>
        <v>815</v>
      </c>
      <c r="I46" s="75">
        <f t="shared" si="7"/>
        <v>1028</v>
      </c>
    </row>
    <row r="47" spans="1:9" x14ac:dyDescent="0.25">
      <c r="B47" s="54" t="s">
        <v>237</v>
      </c>
      <c r="C47" s="100"/>
      <c r="D47" s="76"/>
      <c r="E47" s="76">
        <f>E20-D20</f>
        <v>337</v>
      </c>
      <c r="F47" s="76">
        <f>F20-E20</f>
        <v>165</v>
      </c>
      <c r="G47" s="76">
        <f>G20-F20</f>
        <v>-312</v>
      </c>
      <c r="H47" s="76">
        <f>H20-G20</f>
        <v>2292</v>
      </c>
      <c r="I47" s="76">
        <f>I20-H20</f>
        <v>1413</v>
      </c>
    </row>
    <row r="48" spans="1:9" x14ac:dyDescent="0.25">
      <c r="D48" s="72"/>
      <c r="E48" s="72"/>
      <c r="F48" s="72"/>
      <c r="G48" s="72"/>
      <c r="H48" s="72"/>
      <c r="I48" s="72"/>
    </row>
    <row r="49" spans="1:9" x14ac:dyDescent="0.25">
      <c r="B49" s="92" t="s">
        <v>228</v>
      </c>
      <c r="C49" s="69"/>
      <c r="D49" s="71">
        <f>D37</f>
        <v>1801.3500000000004</v>
      </c>
      <c r="E49" s="71">
        <f t="shared" ref="E49:I49" si="8">E37</f>
        <v>1332.5</v>
      </c>
      <c r="F49" s="71">
        <f t="shared" si="8"/>
        <v>1725.64</v>
      </c>
      <c r="G49" s="71">
        <f t="shared" si="8"/>
        <v>2919.5100000000007</v>
      </c>
      <c r="H49" s="71">
        <f t="shared" si="8"/>
        <v>3731.7699999999973</v>
      </c>
      <c r="I49" s="71">
        <f t="shared" si="8"/>
        <v>3993.239999999998</v>
      </c>
    </row>
    <row r="50" spans="1:9" x14ac:dyDescent="0.25">
      <c r="B50" s="92" t="s">
        <v>239</v>
      </c>
      <c r="C50" s="69"/>
      <c r="D50" s="108">
        <v>0.25</v>
      </c>
      <c r="E50" s="108">
        <v>0.25</v>
      </c>
      <c r="F50" s="108">
        <v>0.25</v>
      </c>
      <c r="G50" s="108">
        <v>0.25</v>
      </c>
      <c r="H50" s="108">
        <v>0.25</v>
      </c>
      <c r="I50" s="108">
        <v>0.25</v>
      </c>
    </row>
    <row r="51" spans="1:9" x14ac:dyDescent="0.25">
      <c r="B51" s="92" t="s">
        <v>240</v>
      </c>
      <c r="C51" s="69"/>
      <c r="D51" s="71">
        <f>D49*(1-D50)</f>
        <v>1351.0125000000003</v>
      </c>
      <c r="E51" s="71">
        <f t="shared" ref="E51:I51" si="9">E49*(1-E50)</f>
        <v>999.375</v>
      </c>
      <c r="F51" s="71">
        <f t="shared" si="9"/>
        <v>1294.23</v>
      </c>
      <c r="G51" s="71">
        <f t="shared" si="9"/>
        <v>2189.6325000000006</v>
      </c>
      <c r="H51" s="71">
        <f t="shared" si="9"/>
        <v>2798.8274999999981</v>
      </c>
      <c r="I51" s="71">
        <f t="shared" si="9"/>
        <v>2994.9299999999985</v>
      </c>
    </row>
    <row r="52" spans="1:9" x14ac:dyDescent="0.25">
      <c r="D52" s="72"/>
      <c r="E52" s="72"/>
      <c r="F52" s="72"/>
      <c r="G52" s="72"/>
      <c r="H52" s="72"/>
      <c r="I52" s="72"/>
    </row>
    <row r="53" spans="1:9" x14ac:dyDescent="0.25">
      <c r="A53" t="s">
        <v>95</v>
      </c>
      <c r="B53" s="92" t="s">
        <v>246</v>
      </c>
      <c r="C53" s="92"/>
      <c r="D53" s="71"/>
      <c r="E53" s="71">
        <f>SUM(E46:E47)</f>
        <v>852</v>
      </c>
      <c r="F53" s="71">
        <f>SUM(F46:F47)</f>
        <v>804</v>
      </c>
      <c r="G53" s="71">
        <f>SUM(G46:G47)</f>
        <v>361</v>
      </c>
      <c r="H53" s="71">
        <f>SUM(H46:H47)</f>
        <v>3107</v>
      </c>
      <c r="I53" s="71">
        <f>SUM(I46:I47)</f>
        <v>2441</v>
      </c>
    </row>
    <row r="54" spans="1:9" x14ac:dyDescent="0.25">
      <c r="B54" s="51"/>
      <c r="C54" s="51"/>
      <c r="D54" s="72"/>
      <c r="E54" s="72"/>
      <c r="F54" s="72"/>
      <c r="G54" s="72"/>
      <c r="H54" s="72"/>
      <c r="I54" s="72"/>
    </row>
    <row r="55" spans="1:9" ht="15.75" thickBot="1" x14ac:dyDescent="0.3">
      <c r="A55" t="s">
        <v>95</v>
      </c>
      <c r="B55" s="109" t="s">
        <v>241</v>
      </c>
      <c r="C55" s="109"/>
      <c r="D55" s="109"/>
      <c r="E55" s="110">
        <f>E53/E51</f>
        <v>0.85253283302063787</v>
      </c>
      <c r="F55" s="110">
        <f t="shared" ref="F55:I55" si="10">F53/F51</f>
        <v>0.62121879418650472</v>
      </c>
      <c r="G55" s="110">
        <f t="shared" si="10"/>
        <v>0.16486784882851341</v>
      </c>
      <c r="H55" s="110">
        <f t="shared" si="10"/>
        <v>1.1101077147484089</v>
      </c>
      <c r="I55" s="110">
        <f t="shared" si="10"/>
        <v>0.8150440911807626</v>
      </c>
    </row>
    <row r="56" spans="1:9" x14ac:dyDescent="0.25">
      <c r="E56" s="85"/>
      <c r="F56" s="85"/>
      <c r="G56" s="85"/>
      <c r="H56" s="85"/>
      <c r="I56" s="85"/>
    </row>
    <row r="57" spans="1:9" x14ac:dyDescent="0.25">
      <c r="E57" s="85"/>
      <c r="F57" s="85"/>
      <c r="G57" s="95" t="s">
        <v>243</v>
      </c>
      <c r="H57" s="95"/>
      <c r="I57" s="95">
        <f>AVERAGE(E55:I55)</f>
        <v>0.71275425639296552</v>
      </c>
    </row>
    <row r="58" spans="1:9" x14ac:dyDescent="0.25">
      <c r="G58" s="96" t="s">
        <v>244</v>
      </c>
      <c r="H58" s="96"/>
      <c r="I58" s="97">
        <f>MEDIAN(E55:I55)</f>
        <v>0.8150440911807626</v>
      </c>
    </row>
    <row r="59" spans="1:9" s="26" customFormat="1" x14ac:dyDescent="0.25">
      <c r="G59" s="103"/>
      <c r="H59" s="103"/>
      <c r="I59" s="104"/>
    </row>
    <row r="60" spans="1:9" x14ac:dyDescent="0.25">
      <c r="A60" t="s">
        <v>95</v>
      </c>
      <c r="B60" s="220" t="s">
        <v>245</v>
      </c>
      <c r="C60" s="220"/>
      <c r="D60" s="220"/>
      <c r="E60" s="220"/>
      <c r="F60" s="220"/>
      <c r="G60" s="220"/>
      <c r="H60" s="220"/>
      <c r="I60" s="220"/>
    </row>
    <row r="62" spans="1:9" x14ac:dyDescent="0.25">
      <c r="B62" s="91" t="str">
        <f>B39</f>
        <v>ROIC</v>
      </c>
      <c r="C62" s="91"/>
      <c r="D62" s="101">
        <f t="shared" ref="D62:I62" si="11">D39</f>
        <v>1.4789408866995077</v>
      </c>
      <c r="E62" s="101">
        <f t="shared" si="11"/>
        <v>0.82763975155279501</v>
      </c>
      <c r="F62" s="101">
        <f t="shared" si="11"/>
        <v>0.97604072398190056</v>
      </c>
      <c r="G62" s="101">
        <f t="shared" si="11"/>
        <v>1.6973895348837214</v>
      </c>
      <c r="H62" s="101">
        <f t="shared" si="11"/>
        <v>0.8805497876356766</v>
      </c>
      <c r="I62" s="101">
        <f t="shared" si="11"/>
        <v>0.64303381642512047</v>
      </c>
    </row>
    <row r="63" spans="1:9" x14ac:dyDescent="0.25">
      <c r="B63" s="91" t="str">
        <f>B55</f>
        <v>Reinvestment Rate</v>
      </c>
      <c r="C63" s="91"/>
      <c r="D63" s="102" t="s">
        <v>97</v>
      </c>
      <c r="E63" s="101">
        <f>E55</f>
        <v>0.85253283302063787</v>
      </c>
      <c r="F63" s="101">
        <f>F55</f>
        <v>0.62121879418650472</v>
      </c>
      <c r="G63" s="101">
        <f>G55</f>
        <v>0.16486784882851341</v>
      </c>
      <c r="H63" s="101">
        <f>H55</f>
        <v>1.1101077147484089</v>
      </c>
      <c r="I63" s="101">
        <f>I55</f>
        <v>0.8150440911807626</v>
      </c>
    </row>
    <row r="64" spans="1:9" ht="15.75" thickBot="1" x14ac:dyDescent="0.3">
      <c r="D64" s="85"/>
      <c r="E64" s="85"/>
      <c r="F64" s="85"/>
      <c r="G64" s="85"/>
      <c r="H64" s="85"/>
      <c r="I64" s="85"/>
    </row>
    <row r="65" spans="1:9" ht="15.75" thickBot="1" x14ac:dyDescent="0.3">
      <c r="A65" t="s">
        <v>95</v>
      </c>
      <c r="B65" s="98" t="s">
        <v>242</v>
      </c>
      <c r="C65" s="98"/>
      <c r="D65" s="99"/>
      <c r="E65" s="99">
        <f>E62*E63</f>
        <v>0.7055900621118012</v>
      </c>
      <c r="F65" s="99">
        <f t="shared" ref="F65:I65" si="12">F62*F63</f>
        <v>0.60633484162895934</v>
      </c>
      <c r="G65" s="99">
        <f t="shared" si="12"/>
        <v>0.27984496124031005</v>
      </c>
      <c r="H65" s="99">
        <f t="shared" si="12"/>
        <v>0.97750511247443772</v>
      </c>
      <c r="I65" s="99">
        <f t="shared" si="12"/>
        <v>0.52410091250670965</v>
      </c>
    </row>
    <row r="66" spans="1:9" ht="15.75" thickTop="1" x14ac:dyDescent="0.25"/>
    <row r="67" spans="1:9" x14ac:dyDescent="0.25">
      <c r="G67" s="95" t="s">
        <v>243</v>
      </c>
      <c r="H67" s="95"/>
      <c r="I67" s="95">
        <f>AVERAGE(E65:I65)</f>
        <v>0.61867517799244354</v>
      </c>
    </row>
    <row r="68" spans="1:9" x14ac:dyDescent="0.25">
      <c r="G68" s="96" t="s">
        <v>244</v>
      </c>
      <c r="H68" s="96"/>
      <c r="I68" s="97">
        <f>MEDIAN(E65:I65)</f>
        <v>0.60633484162895934</v>
      </c>
    </row>
  </sheetData>
  <sheetProtection algorithmName="SHA-512" hashValue="pruZ1KWdRfPrFGDJAkGBS0HFiheHhY679fUVWCDqIGQs2PagagoTKzFA0/oD2Op2hsFBEy1gp/xkwVoU9jY68g==" saltValue="v4L+g3t1++D2Av8JigZNdg==" spinCount="100000" sheet="1" objects="1" scenarios="1"/>
  <mergeCells count="4">
    <mergeCell ref="B6:I6"/>
    <mergeCell ref="B41:I41"/>
    <mergeCell ref="B60:I60"/>
    <mergeCell ref="B1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D9B6-2271-435B-9568-F51DDC3B6514}">
  <sheetPr>
    <pageSetUpPr autoPageBreaks="0"/>
  </sheetPr>
  <dimension ref="A1:R44"/>
  <sheetViews>
    <sheetView showGridLines="0" workbookViewId="0">
      <selection activeCell="H19" sqref="H19"/>
    </sheetView>
  </sheetViews>
  <sheetFormatPr defaultRowHeight="15" outlineLevelRow="1" x14ac:dyDescent="0.25"/>
  <cols>
    <col min="1" max="1" width="1.85546875" customWidth="1"/>
    <col min="2" max="2" width="34.42578125" bestFit="1" customWidth="1"/>
    <col min="3" max="3" width="9.28515625" customWidth="1"/>
    <col min="4" max="4" width="8.28515625" bestFit="1" customWidth="1"/>
    <col min="5" max="6" width="9.28515625" bestFit="1" customWidth="1"/>
    <col min="7" max="7" width="8.28515625" bestFit="1" customWidth="1"/>
    <col min="8" max="8" width="9.28515625" bestFit="1" customWidth="1"/>
    <col min="11" max="11" width="21.5703125" bestFit="1" customWidth="1"/>
    <col min="12" max="12" width="10.140625" bestFit="1" customWidth="1"/>
  </cols>
  <sheetData>
    <row r="1" spans="1:18" x14ac:dyDescent="0.25">
      <c r="B1" s="222" t="s">
        <v>330</v>
      </c>
      <c r="C1" s="222"/>
      <c r="D1" s="222"/>
      <c r="E1" s="222"/>
      <c r="F1" s="222"/>
      <c r="G1" s="222"/>
      <c r="H1" s="222"/>
    </row>
    <row r="2" spans="1:18" x14ac:dyDescent="0.25">
      <c r="B2" s="222"/>
      <c r="C2" s="222"/>
      <c r="D2" s="222"/>
      <c r="E2" s="222"/>
      <c r="F2" s="222"/>
      <c r="G2" s="222"/>
      <c r="H2" s="222"/>
    </row>
    <row r="4" spans="1:18" x14ac:dyDescent="0.25">
      <c r="A4" t="s">
        <v>95</v>
      </c>
      <c r="B4" s="223" t="s">
        <v>248</v>
      </c>
      <c r="C4" s="223"/>
      <c r="D4" s="223"/>
      <c r="E4" s="223"/>
      <c r="F4" s="223"/>
      <c r="G4" s="223"/>
      <c r="H4" s="223"/>
    </row>
    <row r="6" spans="1:18" x14ac:dyDescent="0.25">
      <c r="B6" s="66" t="s">
        <v>216</v>
      </c>
      <c r="C6" s="207">
        <f>'Intrinsic Rate'!D4</f>
        <v>43891</v>
      </c>
      <c r="D6" s="208">
        <f>'Intrinsic Rate'!E4</f>
        <v>44256</v>
      </c>
      <c r="E6" s="208">
        <f>'Intrinsic Rate'!F4</f>
        <v>44621</v>
      </c>
      <c r="F6" s="208">
        <f>'Intrinsic Rate'!G4</f>
        <v>44986</v>
      </c>
      <c r="G6" s="208">
        <f>'Intrinsic Rate'!H4</f>
        <v>45352</v>
      </c>
      <c r="H6" s="208">
        <f>'Intrinsic Rate'!I4</f>
        <v>45717</v>
      </c>
    </row>
    <row r="7" spans="1:18" x14ac:dyDescent="0.25">
      <c r="B7" s="84" t="s">
        <v>249</v>
      </c>
      <c r="C7" s="200">
        <f>HistoricalIFS!G26</f>
        <v>1801.3500000000004</v>
      </c>
      <c r="D7" s="165">
        <f>HistoricalIFS!H26</f>
        <v>1332.5</v>
      </c>
      <c r="E7" s="165">
        <f>HistoricalIFS!I26</f>
        <v>1725.64</v>
      </c>
      <c r="F7" s="165">
        <f>HistoricalIFS!J26</f>
        <v>2919.5100000000007</v>
      </c>
      <c r="G7" s="165">
        <f>HistoricalIFS!K26</f>
        <v>3731.7699999999973</v>
      </c>
      <c r="H7" s="165">
        <f>HistoricalIFS!L26</f>
        <v>3993.239999999998</v>
      </c>
      <c r="Q7" s="194"/>
      <c r="R7" s="163"/>
    </row>
    <row r="8" spans="1:18" x14ac:dyDescent="0.25">
      <c r="B8" s="69" t="s">
        <v>251</v>
      </c>
      <c r="C8" s="201">
        <v>0.25</v>
      </c>
      <c r="D8" s="166">
        <v>0.25</v>
      </c>
      <c r="E8" s="166">
        <v>0.25</v>
      </c>
      <c r="F8" s="166">
        <v>0.25</v>
      </c>
      <c r="G8" s="166">
        <v>0.25</v>
      </c>
      <c r="H8" s="166">
        <v>0.25</v>
      </c>
      <c r="Q8" s="194"/>
      <c r="R8" s="163"/>
    </row>
    <row r="9" spans="1:18" x14ac:dyDescent="0.25">
      <c r="B9" s="69" t="s">
        <v>250</v>
      </c>
      <c r="C9" s="202">
        <f>C7*(1-C8)</f>
        <v>1351.0125000000003</v>
      </c>
      <c r="D9" s="86">
        <f t="shared" ref="D9:H9" si="0">D7*(1-D8)</f>
        <v>999.375</v>
      </c>
      <c r="E9" s="86">
        <f t="shared" si="0"/>
        <v>1294.23</v>
      </c>
      <c r="F9" s="86">
        <f t="shared" si="0"/>
        <v>2189.6325000000006</v>
      </c>
      <c r="G9" s="86">
        <f t="shared" si="0"/>
        <v>2798.8274999999981</v>
      </c>
      <c r="H9" s="86">
        <f t="shared" si="0"/>
        <v>2994.9299999999985</v>
      </c>
      <c r="Q9" s="194"/>
      <c r="R9" s="163"/>
    </row>
    <row r="10" spans="1:18" x14ac:dyDescent="0.25">
      <c r="B10" s="69" t="s">
        <v>252</v>
      </c>
      <c r="C10" s="203">
        <f>'Intrinsic Rate'!I58</f>
        <v>0.8150440911807626</v>
      </c>
      <c r="D10" s="167">
        <f>C10+(($H$10-$C$10)/4)</f>
        <v>0.825033068385572</v>
      </c>
      <c r="E10" s="167">
        <f t="shared" ref="E10:G10" si="1">D10+(($H$10-$C$10)/4)</f>
        <v>0.8350220455903814</v>
      </c>
      <c r="F10" s="167">
        <f t="shared" si="1"/>
        <v>0.8450110227951908</v>
      </c>
      <c r="G10" s="167">
        <f t="shared" si="1"/>
        <v>0.8550000000000002</v>
      </c>
      <c r="H10" s="166">
        <v>0.85499999999999998</v>
      </c>
      <c r="Q10" s="194"/>
      <c r="R10" s="163"/>
    </row>
    <row r="11" spans="1:18" x14ac:dyDescent="0.25">
      <c r="B11" s="69" t="s">
        <v>253</v>
      </c>
      <c r="C11" s="202">
        <f>C9*(1-C10)</f>
        <v>249.87774476365001</v>
      </c>
      <c r="D11" s="86">
        <f t="shared" ref="D11:H11" si="2">D9*(1-D10)</f>
        <v>174.85757728216899</v>
      </c>
      <c r="E11" s="86">
        <f t="shared" si="2"/>
        <v>213.51941793556068</v>
      </c>
      <c r="F11" s="86">
        <f t="shared" si="2"/>
        <v>339.36890162940949</v>
      </c>
      <c r="G11" s="86">
        <f t="shared" si="2"/>
        <v>405.82998749999916</v>
      </c>
      <c r="H11" s="86">
        <f t="shared" si="2"/>
        <v>434.26484999999985</v>
      </c>
      <c r="Q11" s="194"/>
      <c r="R11" s="163"/>
    </row>
    <row r="12" spans="1:18" x14ac:dyDescent="0.25">
      <c r="B12" s="69" t="s">
        <v>256</v>
      </c>
      <c r="C12" s="204"/>
      <c r="D12" s="168">
        <v>0.5</v>
      </c>
      <c r="E12" s="168">
        <f>D12+1</f>
        <v>1.5</v>
      </c>
      <c r="F12" s="168">
        <f t="shared" ref="F12:H12" si="3">E12+1</f>
        <v>2.5</v>
      </c>
      <c r="G12" s="168">
        <f t="shared" si="3"/>
        <v>3.5</v>
      </c>
      <c r="H12" s="168">
        <f t="shared" si="3"/>
        <v>4.5</v>
      </c>
      <c r="Q12" s="194"/>
      <c r="R12" s="163"/>
    </row>
    <row r="13" spans="1:18" x14ac:dyDescent="0.25">
      <c r="B13" s="79" t="s">
        <v>254</v>
      </c>
      <c r="C13" s="205"/>
      <c r="D13" s="169">
        <f>1/(1+$C$19)^D12</f>
        <v>0.9222789956943156</v>
      </c>
      <c r="E13" s="169">
        <f t="shared" ref="E13:H13" si="4">1/(1+$C$19)^E12</f>
        <v>0.78448917265069662</v>
      </c>
      <c r="F13" s="169">
        <f t="shared" si="4"/>
        <v>0.66728534953012553</v>
      </c>
      <c r="G13" s="169">
        <f t="shared" si="4"/>
        <v>0.56759194800997415</v>
      </c>
      <c r="H13" s="169">
        <f t="shared" si="4"/>
        <v>0.4827928856412167</v>
      </c>
    </row>
    <row r="14" spans="1:18" ht="15.75" thickBot="1" x14ac:dyDescent="0.3">
      <c r="B14" s="80" t="s">
        <v>255</v>
      </c>
      <c r="C14" s="206"/>
      <c r="D14" s="157">
        <f>D11*D13</f>
        <v>161.26747076533999</v>
      </c>
      <c r="E14" s="157">
        <f t="shared" ref="E14:H14" si="5">E11*E13</f>
        <v>167.50367152112631</v>
      </c>
      <c r="F14" s="157">
        <f t="shared" si="5"/>
        <v>226.4558961434353</v>
      </c>
      <c r="G14" s="157">
        <f t="shared" si="5"/>
        <v>230.34583316598798</v>
      </c>
      <c r="H14" s="157">
        <f t="shared" si="5"/>
        <v>209.65998006405005</v>
      </c>
      <c r="L14" s="193"/>
    </row>
    <row r="15" spans="1:18" x14ac:dyDescent="0.25">
      <c r="L15" s="195"/>
    </row>
    <row r="16" spans="1:18" x14ac:dyDescent="0.25">
      <c r="L16" s="5"/>
    </row>
    <row r="17" spans="1:14" outlineLevel="1" x14ac:dyDescent="0.25">
      <c r="B17" s="156" t="s">
        <v>315</v>
      </c>
      <c r="C17" s="97">
        <f>'Intrinsic Rate'!I68</f>
        <v>0.60633484162895934</v>
      </c>
      <c r="K17" s="2"/>
      <c r="L17" s="196"/>
    </row>
    <row r="18" spans="1:14" outlineLevel="1" x14ac:dyDescent="0.25">
      <c r="B18" s="156" t="s">
        <v>316</v>
      </c>
      <c r="C18" s="97">
        <v>5.3800000000000001E-2</v>
      </c>
      <c r="L18" s="163"/>
    </row>
    <row r="19" spans="1:14" outlineLevel="1" x14ac:dyDescent="0.25">
      <c r="B19" s="96" t="s">
        <v>275</v>
      </c>
      <c r="C19" s="97">
        <f>WACC!J42</f>
        <v>0.1756427339564717</v>
      </c>
      <c r="L19" s="193"/>
    </row>
    <row r="21" spans="1:14" x14ac:dyDescent="0.25">
      <c r="L21" s="163"/>
      <c r="N21" s="194"/>
    </row>
    <row r="22" spans="1:14" x14ac:dyDescent="0.25">
      <c r="A22" t="s">
        <v>95</v>
      </c>
      <c r="B22" s="158" t="s">
        <v>317</v>
      </c>
      <c r="C22" s="112"/>
      <c r="L22" s="113"/>
    </row>
    <row r="23" spans="1:14" x14ac:dyDescent="0.25">
      <c r="K23" s="2"/>
      <c r="L23" s="197"/>
      <c r="N23" s="163"/>
    </row>
    <row r="24" spans="1:14" x14ac:dyDescent="0.25">
      <c r="B24" t="s">
        <v>318</v>
      </c>
      <c r="C24" s="113">
        <f>H11*(1-H10)</f>
        <v>62.968403249999987</v>
      </c>
      <c r="L24" s="113"/>
    </row>
    <row r="25" spans="1:14" x14ac:dyDescent="0.25">
      <c r="B25" t="s">
        <v>275</v>
      </c>
      <c r="C25" s="5">
        <f>C19</f>
        <v>0.1756427339564717</v>
      </c>
      <c r="L25" s="36"/>
    </row>
    <row r="26" spans="1:14" x14ac:dyDescent="0.25">
      <c r="B26" t="s">
        <v>319</v>
      </c>
      <c r="C26" s="5">
        <f>C18</f>
        <v>5.3800000000000001E-2</v>
      </c>
      <c r="L26" s="198"/>
    </row>
    <row r="27" spans="1:14" ht="15.75" thickBot="1" x14ac:dyDescent="0.3">
      <c r="B27" s="159" t="s">
        <v>320</v>
      </c>
      <c r="C27" s="160">
        <f>C24/(C25-C26)</f>
        <v>516.80064297059721</v>
      </c>
      <c r="K27" s="2"/>
      <c r="L27" s="199"/>
    </row>
    <row r="29" spans="1:14" x14ac:dyDescent="0.25">
      <c r="L29" s="163"/>
    </row>
    <row r="30" spans="1:14" x14ac:dyDescent="0.25">
      <c r="A30" t="s">
        <v>95</v>
      </c>
      <c r="B30" s="158" t="s">
        <v>321</v>
      </c>
      <c r="C30" s="112"/>
    </row>
    <row r="31" spans="1:14" x14ac:dyDescent="0.25">
      <c r="L31" s="113"/>
    </row>
    <row r="32" spans="1:14" x14ac:dyDescent="0.25">
      <c r="B32" t="s">
        <v>322</v>
      </c>
      <c r="C32" s="113">
        <f>SUM(D14:H14)</f>
        <v>995.23285165993968</v>
      </c>
      <c r="L32" s="163"/>
    </row>
    <row r="33" spans="1:12" x14ac:dyDescent="0.25">
      <c r="B33" t="s">
        <v>323</v>
      </c>
      <c r="C33" s="113">
        <f>C27*H13</f>
        <v>249.5076737210108</v>
      </c>
    </row>
    <row r="34" spans="1:12" ht="15.75" thickBot="1" x14ac:dyDescent="0.3">
      <c r="B34" s="159" t="s">
        <v>324</v>
      </c>
      <c r="C34" s="157">
        <f>SUM(C32:C33)</f>
        <v>1244.7405253809504</v>
      </c>
    </row>
    <row r="35" spans="1:12" x14ac:dyDescent="0.25">
      <c r="L35" s="163"/>
    </row>
    <row r="36" spans="1:12" x14ac:dyDescent="0.25">
      <c r="B36" t="s">
        <v>325</v>
      </c>
      <c r="C36">
        <f>'Raw Data'!H36</f>
        <v>263</v>
      </c>
    </row>
    <row r="37" spans="1:12" x14ac:dyDescent="0.25">
      <c r="B37" t="s">
        <v>326</v>
      </c>
      <c r="C37">
        <f>SUM('Raw Data'!H8:H9)</f>
        <v>266</v>
      </c>
    </row>
    <row r="38" spans="1:12" x14ac:dyDescent="0.25">
      <c r="B38" s="161" t="s">
        <v>327</v>
      </c>
      <c r="C38" s="162">
        <f>C34+C36-C37</f>
        <v>1241.7405253809504</v>
      </c>
    </row>
    <row r="39" spans="1:12" x14ac:dyDescent="0.25">
      <c r="B39" t="s">
        <v>328</v>
      </c>
      <c r="C39" s="163">
        <f>'Data Sheet'!B6</f>
        <v>27.431004066750805</v>
      </c>
    </row>
    <row r="41" spans="1:12" ht="15.75" thickBot="1" x14ac:dyDescent="0.3">
      <c r="A41" t="s">
        <v>95</v>
      </c>
      <c r="B41" s="93" t="s">
        <v>329</v>
      </c>
      <c r="C41" s="164">
        <f>C38/C39</f>
        <v>45.267775191870115</v>
      </c>
    </row>
    <row r="42" spans="1:12" ht="15.75" thickTop="1" x14ac:dyDescent="0.25"/>
    <row r="43" spans="1:12" x14ac:dyDescent="0.25">
      <c r="B43" s="79" t="s">
        <v>332</v>
      </c>
      <c r="C43" s="107">
        <v>7190</v>
      </c>
    </row>
    <row r="44" spans="1:12" x14ac:dyDescent="0.25">
      <c r="B44" s="100" t="s">
        <v>331</v>
      </c>
      <c r="C44" s="170">
        <f>C43/C41</f>
        <v>158.83263468382893</v>
      </c>
    </row>
  </sheetData>
  <sheetProtection algorithmName="SHA-512" hashValue="Oz6xiOaYhig65v+dsrTcvFpNfYMJpffRGfrmdV8uKaU2mNhUBRcwPpuBo5LKuIgy4LENGhLXTjumKqulWkWDKg==" saltValue="eo/YLNGvGQPobRM9jI3BRQ==" spinCount="100000" sheet="1" objects="1" scenarios="1"/>
  <mergeCells count="2">
    <mergeCell ref="B1:H2"/>
    <mergeCell ref="B4:H4"/>
  </mergeCells>
  <pageMargins left="0.7" right="0.7" top="0.75" bottom="0.75" header="0.3" footer="0.3"/>
  <pageSetup orientation="portrait" r:id="rId1"/>
  <ignoredErrors>
    <ignoredError sqref="C3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12A7-B713-4890-BAE9-E4897B3970B8}">
  <sheetPr>
    <pageSetUpPr autoPageBreaks="0"/>
  </sheetPr>
  <dimension ref="A2:M109"/>
  <sheetViews>
    <sheetView showGridLines="0" workbookViewId="0">
      <pane xSplit="1" ySplit="3" topLeftCell="B9" activePane="bottomRight" state="frozen"/>
      <selection pane="topRight" activeCell="B1" sqref="B1"/>
      <selection pane="bottomLeft" activeCell="A4" sqref="A4"/>
      <selection pane="bottomRight" activeCell="O19" sqref="O19"/>
    </sheetView>
  </sheetViews>
  <sheetFormatPr defaultRowHeight="15" x14ac:dyDescent="0.25"/>
  <cols>
    <col min="1" max="1" width="1.85546875" customWidth="1"/>
    <col min="2" max="2" width="30.140625" bestFit="1" customWidth="1"/>
    <col min="3" max="3" width="11.7109375" customWidth="1"/>
    <col min="4" max="12" width="10.7109375" customWidth="1"/>
    <col min="13" max="13" width="9.7109375" bestFit="1" customWidth="1"/>
  </cols>
  <sheetData>
    <row r="2" spans="1:13" x14ac:dyDescent="0.25">
      <c r="B2" s="214" t="str">
        <f>"Historical Financial Statement - "&amp;'Data Sheet'!B1</f>
        <v>Historical Financial Statement - EICHER MOTORS LTD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</row>
    <row r="3" spans="1:13" x14ac:dyDescent="0.25">
      <c r="B3" s="66" t="s">
        <v>93</v>
      </c>
      <c r="C3" s="67">
        <f>'Data Sheet'!B16</f>
        <v>42460</v>
      </c>
      <c r="D3" s="67">
        <f>'Data Sheet'!C16</f>
        <v>42825</v>
      </c>
      <c r="E3" s="67">
        <f>'Data Sheet'!D16</f>
        <v>43190</v>
      </c>
      <c r="F3" s="67">
        <f>'Data Sheet'!E16</f>
        <v>43555</v>
      </c>
      <c r="G3" s="67">
        <f>'Data Sheet'!F16</f>
        <v>43921</v>
      </c>
      <c r="H3" s="67">
        <f>'Data Sheet'!G16</f>
        <v>44286</v>
      </c>
      <c r="I3" s="67">
        <f>'Data Sheet'!H16</f>
        <v>44651</v>
      </c>
      <c r="J3" s="67">
        <f>'Data Sheet'!I16</f>
        <v>45016</v>
      </c>
      <c r="K3" s="67">
        <f>'Data Sheet'!J16</f>
        <v>45382</v>
      </c>
      <c r="L3" s="67">
        <f>'Data Sheet'!K16</f>
        <v>45747</v>
      </c>
      <c r="M3" s="67" t="s">
        <v>94</v>
      </c>
    </row>
    <row r="4" spans="1:13" s="26" customFormat="1" x14ac:dyDescent="0.25">
      <c r="B4" s="2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 x14ac:dyDescent="0.25">
      <c r="A5" t="s">
        <v>95</v>
      </c>
      <c r="B5" s="215" t="s">
        <v>96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</row>
    <row r="6" spans="1:13" x14ac:dyDescent="0.25">
      <c r="B6" s="2" t="s">
        <v>6</v>
      </c>
      <c r="C6" s="37">
        <f>IFERROR('Data Sheet'!B17,0)</f>
        <v>6173.46</v>
      </c>
      <c r="D6" s="37">
        <f>IFERROR('Data Sheet'!C17,0)</f>
        <v>7033.36</v>
      </c>
      <c r="E6" s="37">
        <f>IFERROR('Data Sheet'!D17,0)</f>
        <v>8964.9599999999991</v>
      </c>
      <c r="F6" s="37">
        <f>IFERROR('Data Sheet'!E17,0)</f>
        <v>9797.06</v>
      </c>
      <c r="G6" s="37">
        <f>IFERROR('Data Sheet'!F17,0)</f>
        <v>9153.58</v>
      </c>
      <c r="H6" s="37">
        <f>IFERROR('Data Sheet'!G17,0)</f>
        <v>8720.35</v>
      </c>
      <c r="I6" s="37">
        <f>IFERROR('Data Sheet'!H17,0)</f>
        <v>10297.83</v>
      </c>
      <c r="J6" s="37">
        <f>IFERROR('Data Sheet'!I17,0)</f>
        <v>14442.18</v>
      </c>
      <c r="K6" s="37">
        <f>IFERROR('Data Sheet'!J17,0)</f>
        <v>16535.78</v>
      </c>
      <c r="L6" s="37">
        <f>IFERROR('Data Sheet'!K17,0)</f>
        <v>18870.349999999999</v>
      </c>
      <c r="M6" s="37">
        <f>IFERROR(SUM('Data Sheet'!H42:K42),0)</f>
        <v>22568.58</v>
      </c>
    </row>
    <row r="7" spans="1:13" x14ac:dyDescent="0.25">
      <c r="B7" s="32" t="s">
        <v>22</v>
      </c>
      <c r="C7" s="33" t="s">
        <v>97</v>
      </c>
      <c r="D7" s="32">
        <f>D6/C6-1</f>
        <v>0.13928979858944568</v>
      </c>
      <c r="E7" s="32">
        <f t="shared" ref="E7:M7" si="0">E6/D6-1</f>
        <v>0.27463402982358365</v>
      </c>
      <c r="F7" s="32">
        <f t="shared" si="0"/>
        <v>9.2816922774892507E-2</v>
      </c>
      <c r="G7" s="32">
        <f t="shared" si="0"/>
        <v>-6.568092876842635E-2</v>
      </c>
      <c r="H7" s="32">
        <f t="shared" si="0"/>
        <v>-4.732902318000165E-2</v>
      </c>
      <c r="I7" s="32">
        <f t="shared" si="0"/>
        <v>0.18089640897441028</v>
      </c>
      <c r="J7" s="32">
        <f t="shared" si="0"/>
        <v>0.40244886544058311</v>
      </c>
      <c r="K7" s="32">
        <f t="shared" si="0"/>
        <v>0.14496426439775711</v>
      </c>
      <c r="L7" s="32">
        <f t="shared" si="0"/>
        <v>0.14118293784750402</v>
      </c>
      <c r="M7" s="32">
        <f t="shared" si="0"/>
        <v>0.19598099664288182</v>
      </c>
    </row>
    <row r="9" spans="1:13" x14ac:dyDescent="0.25">
      <c r="B9" t="s">
        <v>98</v>
      </c>
      <c r="C9" s="30">
        <f>IFERROR(SUM('Data Sheet'!B18,'Data Sheet'!B20:B22)-1*'Data Sheet'!B19,0)</f>
        <v>4005.83</v>
      </c>
      <c r="D9" s="30">
        <f>IFERROR(SUM('Data Sheet'!C18,'Data Sheet'!C20:C22)-1*'Data Sheet'!C19,0)</f>
        <v>4351.5</v>
      </c>
      <c r="E9" s="30">
        <f>IFERROR(SUM('Data Sheet'!D18,'Data Sheet'!D20:D22)-1*'Data Sheet'!D19,0)</f>
        <v>5482.05</v>
      </c>
      <c r="F9" s="30">
        <f>IFERROR(SUM('Data Sheet'!E18,'Data Sheet'!E20:E22)-1*'Data Sheet'!E19,0)</f>
        <v>6092.3700000000008</v>
      </c>
      <c r="G9" s="30">
        <f>IFERROR(SUM('Data Sheet'!F18,'Data Sheet'!F20:F22)-1*'Data Sheet'!F19,0)</f>
        <v>6113.8899999999994</v>
      </c>
      <c r="H9" s="30">
        <f>IFERROR(SUM('Data Sheet'!G18,'Data Sheet'!G20:G22)-1*'Data Sheet'!G19,0)</f>
        <v>6261.01</v>
      </c>
      <c r="I9" s="30">
        <f>IFERROR(SUM('Data Sheet'!H18,'Data Sheet'!H20:H22)-1*'Data Sheet'!H19,0)</f>
        <v>7167.9</v>
      </c>
      <c r="J9" s="30">
        <f>IFERROR(SUM('Data Sheet'!I18,'Data Sheet'!I20:I22)-1*'Data Sheet'!I19,0)</f>
        <v>9689.9</v>
      </c>
      <c r="K9" s="30">
        <f>IFERROR(SUM('Data Sheet'!J18,'Data Sheet'!J20:J22)-1*'Data Sheet'!J19,0)</f>
        <v>10700.980000000001</v>
      </c>
      <c r="L9" s="30">
        <f>IFERROR(SUM('Data Sheet'!K18,'Data Sheet'!K20:K22)-1*'Data Sheet'!K19,0)</f>
        <v>12241.11</v>
      </c>
      <c r="M9" s="30">
        <f>IFERROR(SUM('Data Sheet'!H43:K43),0)</f>
        <v>17039.489999999998</v>
      </c>
    </row>
    <row r="10" spans="1:13" x14ac:dyDescent="0.25">
      <c r="B10" s="32" t="s">
        <v>99</v>
      </c>
      <c r="C10" s="32">
        <f>C9/C6</f>
        <v>0.64887923465933206</v>
      </c>
      <c r="D10" s="32">
        <f t="shared" ref="D10:M10" si="1">D9/D6</f>
        <v>0.6186943367039367</v>
      </c>
      <c r="E10" s="32">
        <f t="shared" si="1"/>
        <v>0.6114974299941105</v>
      </c>
      <c r="F10" s="32">
        <f t="shared" si="1"/>
        <v>0.62185696525284129</v>
      </c>
      <c r="G10" s="32">
        <f t="shared" si="1"/>
        <v>0.66792336987277101</v>
      </c>
      <c r="H10" s="32">
        <f t="shared" si="1"/>
        <v>0.71797691606414882</v>
      </c>
      <c r="I10" s="32">
        <f t="shared" si="1"/>
        <v>0.6960592668552501</v>
      </c>
      <c r="J10" s="32">
        <f t="shared" si="1"/>
        <v>0.67094441420893514</v>
      </c>
      <c r="K10" s="32">
        <f t="shared" si="1"/>
        <v>0.64714092712892901</v>
      </c>
      <c r="L10" s="32">
        <f t="shared" si="1"/>
        <v>0.64869544020116221</v>
      </c>
      <c r="M10" s="32">
        <f t="shared" si="1"/>
        <v>0.75500939802149702</v>
      </c>
    </row>
    <row r="12" spans="1:13" x14ac:dyDescent="0.25">
      <c r="B12" s="84" t="s">
        <v>100</v>
      </c>
      <c r="C12" s="173">
        <f>C6-C9</f>
        <v>2167.63</v>
      </c>
      <c r="D12" s="173">
        <f t="shared" ref="D12:M12" si="2">D6-D9</f>
        <v>2681.8599999999997</v>
      </c>
      <c r="E12" s="173">
        <f t="shared" si="2"/>
        <v>3482.9099999999989</v>
      </c>
      <c r="F12" s="173">
        <f t="shared" si="2"/>
        <v>3704.6899999999987</v>
      </c>
      <c r="G12" s="173">
        <f t="shared" si="2"/>
        <v>3039.6900000000005</v>
      </c>
      <c r="H12" s="173">
        <f t="shared" si="2"/>
        <v>2459.34</v>
      </c>
      <c r="I12" s="173">
        <f t="shared" si="2"/>
        <v>3129.9300000000003</v>
      </c>
      <c r="J12" s="173">
        <f t="shared" si="2"/>
        <v>4752.2800000000007</v>
      </c>
      <c r="K12" s="173">
        <f t="shared" si="2"/>
        <v>5834.7999999999975</v>
      </c>
      <c r="L12" s="173">
        <f t="shared" si="2"/>
        <v>6629.239999999998</v>
      </c>
      <c r="M12" s="173">
        <f t="shared" si="2"/>
        <v>5529.0900000000038</v>
      </c>
    </row>
    <row r="13" spans="1:13" x14ac:dyDescent="0.25">
      <c r="B13" s="32" t="s">
        <v>101</v>
      </c>
      <c r="C13" s="32">
        <f>C12/C6</f>
        <v>0.351120765340668</v>
      </c>
      <c r="D13" s="32">
        <f t="shared" ref="D13:M13" si="3">D12/D6</f>
        <v>0.3813056632960633</v>
      </c>
      <c r="E13" s="32">
        <f t="shared" si="3"/>
        <v>0.3885025700058895</v>
      </c>
      <c r="F13" s="32">
        <f t="shared" si="3"/>
        <v>0.37814303474715871</v>
      </c>
      <c r="G13" s="32">
        <f t="shared" si="3"/>
        <v>0.33207663012722899</v>
      </c>
      <c r="H13" s="32">
        <f t="shared" si="3"/>
        <v>0.28202308393585118</v>
      </c>
      <c r="I13" s="32">
        <f t="shared" si="3"/>
        <v>0.30394073314474995</v>
      </c>
      <c r="J13" s="32">
        <f t="shared" si="3"/>
        <v>0.32905558579106481</v>
      </c>
      <c r="K13" s="32">
        <f t="shared" si="3"/>
        <v>0.35285907287107099</v>
      </c>
      <c r="L13" s="32">
        <f t="shared" si="3"/>
        <v>0.35130455979883779</v>
      </c>
      <c r="M13" s="32">
        <f t="shared" si="3"/>
        <v>0.244990601978503</v>
      </c>
    </row>
    <row r="15" spans="1:13" x14ac:dyDescent="0.25">
      <c r="B15" t="s">
        <v>102</v>
      </c>
      <c r="C15" s="34">
        <f>IFERROR(SUM('Data Sheet'!B23:B24),0)</f>
        <v>477.9</v>
      </c>
      <c r="D15" s="34">
        <f>IFERROR(SUM('Data Sheet'!C23:C24),0)</f>
        <v>507.55</v>
      </c>
      <c r="E15" s="34">
        <f>IFERROR(SUM('Data Sheet'!D23:D24),0)</f>
        <v>674.28</v>
      </c>
      <c r="F15" s="34">
        <f>IFERROR(SUM('Data Sheet'!E23:E24),0)</f>
        <v>800.45</v>
      </c>
      <c r="G15" s="34">
        <f>IFERROR(SUM('Data Sheet'!F23:F24),0)</f>
        <v>856.8</v>
      </c>
      <c r="H15" s="34">
        <f>IFERROR(SUM('Data Sheet'!G23:G24),0)</f>
        <v>676.11</v>
      </c>
      <c r="I15" s="34">
        <f>IFERROR(SUM('Data Sheet'!H23:H24),0)</f>
        <v>952.36</v>
      </c>
      <c r="J15" s="34">
        <f>IFERROR(SUM('Data Sheet'!I23:I24),0)</f>
        <v>1306.56</v>
      </c>
      <c r="K15" s="34">
        <f>IFERROR(SUM('Data Sheet'!J23:J24),0)</f>
        <v>1505.43</v>
      </c>
      <c r="L15" s="34">
        <f>IFERROR(SUM('Data Sheet'!K23:K24),0)</f>
        <v>1906.67</v>
      </c>
      <c r="M15" s="30">
        <f>IFERROR(SUM('Data Sheet'!L23:L24),0)</f>
        <v>0</v>
      </c>
    </row>
    <row r="17" spans="2:13" x14ac:dyDescent="0.25">
      <c r="B17" s="84" t="s">
        <v>103</v>
      </c>
      <c r="C17" s="172">
        <f>C12-C15</f>
        <v>1689.73</v>
      </c>
      <c r="D17" s="172">
        <f t="shared" ref="D17:M17" si="4">D12-D15</f>
        <v>2174.3099999999995</v>
      </c>
      <c r="E17" s="172">
        <f t="shared" si="4"/>
        <v>2808.6299999999992</v>
      </c>
      <c r="F17" s="172">
        <f t="shared" si="4"/>
        <v>2904.2399999999989</v>
      </c>
      <c r="G17" s="172">
        <f t="shared" si="4"/>
        <v>2182.8900000000003</v>
      </c>
      <c r="H17" s="172">
        <f t="shared" si="4"/>
        <v>1783.23</v>
      </c>
      <c r="I17" s="172">
        <f t="shared" si="4"/>
        <v>2177.5700000000002</v>
      </c>
      <c r="J17" s="172">
        <f t="shared" si="4"/>
        <v>3445.7200000000007</v>
      </c>
      <c r="K17" s="172">
        <f t="shared" si="4"/>
        <v>4329.3699999999972</v>
      </c>
      <c r="L17" s="172">
        <f t="shared" si="4"/>
        <v>4722.5699999999979</v>
      </c>
      <c r="M17" s="172">
        <f t="shared" si="4"/>
        <v>5529.0900000000038</v>
      </c>
    </row>
    <row r="18" spans="2:13" x14ac:dyDescent="0.25">
      <c r="B18" s="32" t="s">
        <v>104</v>
      </c>
      <c r="C18" s="32">
        <f>C17/C6</f>
        <v>0.27370874679677198</v>
      </c>
      <c r="D18" s="32">
        <f t="shared" ref="D18:M18" si="5">D17/D6</f>
        <v>0.30914242979173534</v>
      </c>
      <c r="E18" s="32">
        <f t="shared" si="5"/>
        <v>0.31328974139315729</v>
      </c>
      <c r="F18" s="32">
        <f t="shared" si="5"/>
        <v>0.29643995239388132</v>
      </c>
      <c r="G18" s="32">
        <f t="shared" si="5"/>
        <v>0.23847390856910633</v>
      </c>
      <c r="H18" s="32">
        <f t="shared" si="5"/>
        <v>0.20449064544427689</v>
      </c>
      <c r="I18" s="32">
        <f t="shared" si="5"/>
        <v>0.21145911323065153</v>
      </c>
      <c r="J18" s="32">
        <f t="shared" si="5"/>
        <v>0.23858724929338926</v>
      </c>
      <c r="K18" s="32">
        <f t="shared" si="5"/>
        <v>0.26181831156437724</v>
      </c>
      <c r="L18" s="32">
        <f t="shared" si="5"/>
        <v>0.25026403855784329</v>
      </c>
      <c r="M18" s="32">
        <f t="shared" si="5"/>
        <v>0.244990601978503</v>
      </c>
    </row>
    <row r="20" spans="2:13" x14ac:dyDescent="0.25">
      <c r="B20" t="s">
        <v>105</v>
      </c>
      <c r="C20">
        <f>IFERROR('Data Sheet'!B27,0)</f>
        <v>2.12</v>
      </c>
      <c r="D20">
        <f>IFERROR('Data Sheet'!C27,0)</f>
        <v>3.56</v>
      </c>
      <c r="E20">
        <f>IFERROR('Data Sheet'!D27,0)</f>
        <v>5.34</v>
      </c>
      <c r="F20">
        <f>IFERROR('Data Sheet'!E27,0)</f>
        <v>7.33</v>
      </c>
      <c r="G20">
        <f>IFERROR('Data Sheet'!F27,0)</f>
        <v>18.88</v>
      </c>
      <c r="H20">
        <f>IFERROR('Data Sheet'!G27,0)</f>
        <v>16.45</v>
      </c>
      <c r="I20">
        <f>IFERROR('Data Sheet'!H27,0)</f>
        <v>18.78</v>
      </c>
      <c r="J20">
        <f>IFERROR('Data Sheet'!I27,0)</f>
        <v>28.02</v>
      </c>
      <c r="K20">
        <f>IFERROR('Data Sheet'!J27,0)</f>
        <v>50.88</v>
      </c>
      <c r="L20">
        <f>IFERROR('Data Sheet'!K27,0)</f>
        <v>54.34</v>
      </c>
      <c r="M20">
        <f>IFERROR(SUM('Data Sheet'!H46:K46),0)</f>
        <v>66.86999999999999</v>
      </c>
    </row>
    <row r="21" spans="2:13" x14ac:dyDescent="0.25">
      <c r="B21" s="32" t="s">
        <v>106</v>
      </c>
      <c r="C21" s="32">
        <f>C20/C6</f>
        <v>3.4340548088106183E-4</v>
      </c>
      <c r="D21" s="32">
        <f t="shared" ref="D21:M21" si="6">D20/D6</f>
        <v>5.061592183536745E-4</v>
      </c>
      <c r="E21" s="32">
        <f t="shared" si="6"/>
        <v>5.9565240670343212E-4</v>
      </c>
      <c r="F21" s="32">
        <f t="shared" si="6"/>
        <v>7.48183638765099E-4</v>
      </c>
      <c r="G21" s="32">
        <f t="shared" si="6"/>
        <v>2.0625809792452787E-3</v>
      </c>
      <c r="H21" s="32">
        <f t="shared" si="6"/>
        <v>1.8863921746260183E-3</v>
      </c>
      <c r="I21" s="32">
        <f t="shared" si="6"/>
        <v>1.8236851841601581E-3</v>
      </c>
      <c r="J21" s="32">
        <f t="shared" si="6"/>
        <v>1.9401503097177849E-3</v>
      </c>
      <c r="K21" s="32">
        <f t="shared" si="6"/>
        <v>3.0769640137931205E-3</v>
      </c>
      <c r="L21" s="32">
        <f t="shared" si="6"/>
        <v>2.8796498210155088E-3</v>
      </c>
      <c r="M21" s="32">
        <f t="shared" si="6"/>
        <v>2.9629688708815525E-3</v>
      </c>
    </row>
    <row r="23" spans="2:13" x14ac:dyDescent="0.25">
      <c r="B23" t="s">
        <v>10</v>
      </c>
      <c r="C23">
        <f>IFERROR('Data Sheet'!B26,0)</f>
        <v>136.6</v>
      </c>
      <c r="D23">
        <f>IFERROR('Data Sheet'!C26,0)</f>
        <v>153.81</v>
      </c>
      <c r="E23">
        <f>IFERROR('Data Sheet'!D26,0)</f>
        <v>223.3</v>
      </c>
      <c r="F23">
        <f>IFERROR('Data Sheet'!E26,0)</f>
        <v>300.27999999999997</v>
      </c>
      <c r="G23">
        <f>IFERROR('Data Sheet'!F26,0)</f>
        <v>381.54</v>
      </c>
      <c r="H23">
        <f>IFERROR('Data Sheet'!G26,0)</f>
        <v>450.73</v>
      </c>
      <c r="I23">
        <f>IFERROR('Data Sheet'!H26,0)</f>
        <v>451.93</v>
      </c>
      <c r="J23">
        <f>IFERROR('Data Sheet'!I26,0)</f>
        <v>526.21</v>
      </c>
      <c r="K23">
        <f>IFERROR('Data Sheet'!J26,0)</f>
        <v>597.6</v>
      </c>
      <c r="L23">
        <f>IFERROR('Data Sheet'!K26,0)</f>
        <v>729.33</v>
      </c>
      <c r="M23">
        <f>IFERROR(SUM('Data Sheet'!H45:K45),0)</f>
        <v>810.09</v>
      </c>
    </row>
    <row r="24" spans="2:13" x14ac:dyDescent="0.25">
      <c r="B24" s="32" t="s">
        <v>107</v>
      </c>
      <c r="C24" s="32">
        <f>C23/C6</f>
        <v>2.2126975796392945E-2</v>
      </c>
      <c r="D24" s="32">
        <f t="shared" ref="D24:M24" si="7">D23/D6</f>
        <v>2.186863746488165E-2</v>
      </c>
      <c r="E24" s="32">
        <f t="shared" si="7"/>
        <v>2.4908086594920671E-2</v>
      </c>
      <c r="F24" s="32">
        <f t="shared" si="7"/>
        <v>3.0650011329929588E-2</v>
      </c>
      <c r="G24" s="32">
        <f t="shared" si="7"/>
        <v>4.1682052268074352E-2</v>
      </c>
      <c r="H24" s="32">
        <f t="shared" si="7"/>
        <v>5.1687145584752903E-2</v>
      </c>
      <c r="I24" s="32">
        <f t="shared" si="7"/>
        <v>4.3885944902955283E-2</v>
      </c>
      <c r="J24" s="32">
        <f t="shared" si="7"/>
        <v>3.643563506340456E-2</v>
      </c>
      <c r="K24" s="32">
        <f t="shared" si="7"/>
        <v>3.6139813180872025E-2</v>
      </c>
      <c r="L24" s="32">
        <f t="shared" si="7"/>
        <v>3.8649521603997809E-2</v>
      </c>
      <c r="M24" s="32">
        <f t="shared" si="7"/>
        <v>3.5894593279683522E-2</v>
      </c>
    </row>
    <row r="25" spans="2:13" x14ac:dyDescent="0.25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pans="2:13" x14ac:dyDescent="0.25">
      <c r="B26" s="84" t="s">
        <v>220</v>
      </c>
      <c r="C26" s="172">
        <f>IFERROR(C17-C23,0)</f>
        <v>1553.13</v>
      </c>
      <c r="D26" s="172">
        <f t="shared" ref="D26:M26" si="8">IFERROR(D17-D23,0)</f>
        <v>2020.4999999999995</v>
      </c>
      <c r="E26" s="172">
        <f t="shared" si="8"/>
        <v>2585.329999999999</v>
      </c>
      <c r="F26" s="172">
        <f t="shared" si="8"/>
        <v>2603.9599999999991</v>
      </c>
      <c r="G26" s="172">
        <f t="shared" si="8"/>
        <v>1801.3500000000004</v>
      </c>
      <c r="H26" s="172">
        <f t="shared" si="8"/>
        <v>1332.5</v>
      </c>
      <c r="I26" s="172">
        <f t="shared" si="8"/>
        <v>1725.64</v>
      </c>
      <c r="J26" s="172">
        <f t="shared" si="8"/>
        <v>2919.5100000000007</v>
      </c>
      <c r="K26" s="172">
        <f t="shared" si="8"/>
        <v>3731.7699999999973</v>
      </c>
      <c r="L26" s="172">
        <f t="shared" si="8"/>
        <v>3993.239999999998</v>
      </c>
      <c r="M26" s="172">
        <f t="shared" si="8"/>
        <v>4719.0000000000036</v>
      </c>
    </row>
    <row r="27" spans="2:13" x14ac:dyDescent="0.25">
      <c r="B27" s="32" t="s">
        <v>221</v>
      </c>
      <c r="C27" s="32">
        <f>IFERROR(C26/C6,0)</f>
        <v>0.25158177100037904</v>
      </c>
      <c r="D27" s="32">
        <f t="shared" ref="D27:M27" si="9">IFERROR(D26/D6,0)</f>
        <v>0.28727379232685368</v>
      </c>
      <c r="E27" s="32">
        <f t="shared" si="9"/>
        <v>0.28838165479823663</v>
      </c>
      <c r="F27" s="32">
        <f t="shared" si="9"/>
        <v>0.26578994106395176</v>
      </c>
      <c r="G27" s="32">
        <f t="shared" si="9"/>
        <v>0.19679185630103199</v>
      </c>
      <c r="H27" s="32">
        <f t="shared" si="9"/>
        <v>0.15280349985952399</v>
      </c>
      <c r="I27" s="32">
        <f t="shared" si="9"/>
        <v>0.16757316832769623</v>
      </c>
      <c r="J27" s="32">
        <f t="shared" si="9"/>
        <v>0.20215161422998471</v>
      </c>
      <c r="K27" s="32">
        <f t="shared" si="9"/>
        <v>0.2256784983835052</v>
      </c>
      <c r="L27" s="32">
        <f t="shared" si="9"/>
        <v>0.21161451695384551</v>
      </c>
      <c r="M27" s="32">
        <f t="shared" si="9"/>
        <v>0.20909600869881947</v>
      </c>
    </row>
    <row r="29" spans="2:13" x14ac:dyDescent="0.25">
      <c r="B29" t="s">
        <v>108</v>
      </c>
      <c r="C29" s="30">
        <f>C17-SUM(C20,C23)</f>
        <v>1551.01</v>
      </c>
      <c r="D29" s="30">
        <f t="shared" ref="D29:M29" si="10">D17-SUM(D20,D23)</f>
        <v>2016.9399999999996</v>
      </c>
      <c r="E29" s="30">
        <f t="shared" si="10"/>
        <v>2579.9899999999993</v>
      </c>
      <c r="F29" s="30">
        <f t="shared" si="10"/>
        <v>2596.6299999999987</v>
      </c>
      <c r="G29" s="30">
        <f t="shared" si="10"/>
        <v>1782.4700000000003</v>
      </c>
      <c r="H29" s="30">
        <f t="shared" si="10"/>
        <v>1316.05</v>
      </c>
      <c r="I29" s="30">
        <f t="shared" si="10"/>
        <v>1706.8600000000001</v>
      </c>
      <c r="J29" s="30">
        <f t="shared" si="10"/>
        <v>2891.4900000000007</v>
      </c>
      <c r="K29" s="30">
        <f t="shared" si="10"/>
        <v>3680.8899999999971</v>
      </c>
      <c r="L29" s="30">
        <f t="shared" si="10"/>
        <v>3938.8999999999978</v>
      </c>
      <c r="M29" s="30">
        <f t="shared" si="10"/>
        <v>4652.1300000000037</v>
      </c>
    </row>
    <row r="30" spans="2:13" x14ac:dyDescent="0.25">
      <c r="B30" s="32" t="s">
        <v>109</v>
      </c>
      <c r="C30" s="32">
        <f>C29/C6</f>
        <v>0.25123836551949796</v>
      </c>
      <c r="D30" s="32">
        <f t="shared" ref="D30:M30" si="11">D29/D6</f>
        <v>0.28676763310850001</v>
      </c>
      <c r="E30" s="32">
        <f t="shared" si="11"/>
        <v>0.28778600239153324</v>
      </c>
      <c r="F30" s="32">
        <f t="shared" si="11"/>
        <v>0.26504175742518665</v>
      </c>
      <c r="G30" s="32">
        <f t="shared" si="11"/>
        <v>0.19472927532178669</v>
      </c>
      <c r="H30" s="32">
        <f t="shared" si="11"/>
        <v>0.15091710768489797</v>
      </c>
      <c r="I30" s="32">
        <f t="shared" si="11"/>
        <v>0.16574948314353607</v>
      </c>
      <c r="J30" s="32">
        <f t="shared" si="11"/>
        <v>0.20021146392026692</v>
      </c>
      <c r="K30" s="32">
        <f t="shared" si="11"/>
        <v>0.22260153436971206</v>
      </c>
      <c r="L30" s="32">
        <f t="shared" si="11"/>
        <v>0.20873486713282999</v>
      </c>
      <c r="M30" s="32">
        <f t="shared" si="11"/>
        <v>0.20613303982793793</v>
      </c>
    </row>
    <row r="32" spans="2:13" x14ac:dyDescent="0.25">
      <c r="B32" t="s">
        <v>9</v>
      </c>
      <c r="C32" s="30">
        <f>IFERROR('Data Sheet'!B25,0)</f>
        <v>325.91000000000003</v>
      </c>
      <c r="D32" s="30">
        <f>IFERROR('Data Sheet'!C25,0)</f>
        <v>416.44</v>
      </c>
      <c r="E32" s="30">
        <f>IFERROR('Data Sheet'!D25,0)</f>
        <v>535.66</v>
      </c>
      <c r="F32" s="30">
        <f>IFERROR('Data Sheet'!E25,0)</f>
        <v>700.66</v>
      </c>
      <c r="G32" s="30">
        <f>IFERROR('Data Sheet'!F25,0)</f>
        <v>572.41999999999996</v>
      </c>
      <c r="H32" s="30">
        <f>IFERROR('Data Sheet'!G25,0)</f>
        <v>482.34</v>
      </c>
      <c r="I32" s="30">
        <f>IFERROR('Data Sheet'!H25,0)</f>
        <v>495.65</v>
      </c>
      <c r="J32" s="30">
        <f>IFERROR('Data Sheet'!I25,0)</f>
        <v>908.14</v>
      </c>
      <c r="K32" s="30">
        <f>IFERROR('Data Sheet'!J25,0)</f>
        <v>1521.13</v>
      </c>
      <c r="L32" s="30">
        <f>IFERROR('Data Sheet'!K25,0)</f>
        <v>1994.17</v>
      </c>
      <c r="M32" s="30">
        <f>IFERROR(SUM('Data Sheet'!H44:K44),0)</f>
        <v>2182.23</v>
      </c>
    </row>
    <row r="33" spans="2:13" x14ac:dyDescent="0.25">
      <c r="B33" t="s">
        <v>111</v>
      </c>
      <c r="C33" s="32">
        <f>C32/C6</f>
        <v>5.2792113336767393E-2</v>
      </c>
      <c r="D33" s="32">
        <f t="shared" ref="D33:M33" si="12">D32/D6</f>
        <v>5.9209254182922534E-2</v>
      </c>
      <c r="E33" s="32">
        <f t="shared" si="12"/>
        <v>5.9750406025236034E-2</v>
      </c>
      <c r="F33" s="32">
        <f t="shared" si="12"/>
        <v>7.151737357942077E-2</v>
      </c>
      <c r="G33" s="32">
        <f t="shared" si="12"/>
        <v>6.2535095558240592E-2</v>
      </c>
      <c r="H33" s="32">
        <f t="shared" si="12"/>
        <v>5.5312000091739429E-2</v>
      </c>
      <c r="I33" s="32">
        <f t="shared" si="12"/>
        <v>4.8131499548934094E-2</v>
      </c>
      <c r="J33" s="32">
        <f t="shared" si="12"/>
        <v>6.2881088589118811E-2</v>
      </c>
      <c r="K33" s="32">
        <f t="shared" si="12"/>
        <v>9.1990217576673139E-2</v>
      </c>
      <c r="L33" s="32">
        <f t="shared" si="12"/>
        <v>0.1056774251669948</v>
      </c>
      <c r="M33" s="32">
        <f t="shared" si="12"/>
        <v>9.6693278885955594E-2</v>
      </c>
    </row>
    <row r="35" spans="2:13" x14ac:dyDescent="0.25">
      <c r="B35" t="s">
        <v>13</v>
      </c>
      <c r="C35" s="30">
        <f>IFERROR('Data Sheet'!B29,0)</f>
        <v>538.88</v>
      </c>
      <c r="D35" s="30">
        <f>IFERROR('Data Sheet'!C29,0)</f>
        <v>720.3</v>
      </c>
      <c r="E35" s="30">
        <f>IFERROR('Data Sheet'!D29,0)</f>
        <v>935.93</v>
      </c>
      <c r="F35" s="30">
        <f>IFERROR('Data Sheet'!E29,0)</f>
        <v>1077.04</v>
      </c>
      <c r="G35" s="30">
        <f>IFERROR('Data Sheet'!F29,0)</f>
        <v>527.45000000000005</v>
      </c>
      <c r="H35" s="30">
        <f>IFERROR('Data Sheet'!G29,0)</f>
        <v>451.5</v>
      </c>
      <c r="I35" s="30">
        <f>IFERROR('Data Sheet'!H29,0)</f>
        <v>525.91</v>
      </c>
      <c r="J35" s="30">
        <f>IFERROR('Data Sheet'!I29,0)</f>
        <v>885.69</v>
      </c>
      <c r="K35" s="30">
        <f>IFERROR('Data Sheet'!J29,0)</f>
        <v>1201.01</v>
      </c>
      <c r="L35" s="30">
        <f>IFERROR('Data Sheet'!K29,0)</f>
        <v>1198.6300000000001</v>
      </c>
      <c r="M35" s="30">
        <f>IFERROR(SUM('Data Sheet'!H48:K48),0)</f>
        <v>1476.9299999999998</v>
      </c>
    </row>
    <row r="36" spans="2:13" x14ac:dyDescent="0.25">
      <c r="B36" s="32" t="s">
        <v>110</v>
      </c>
      <c r="C36" s="32">
        <f>C35/SUM(C29,C32)</f>
        <v>0.28710866739125801</v>
      </c>
      <c r="D36" s="32">
        <f t="shared" ref="D36:M36" si="13">D35/SUM(D29,D32)</f>
        <v>0.29600802176396618</v>
      </c>
      <c r="E36" s="32">
        <f t="shared" si="13"/>
        <v>0.30039638598687279</v>
      </c>
      <c r="F36" s="32">
        <f t="shared" si="13"/>
        <v>0.326644001589184</v>
      </c>
      <c r="G36" s="32">
        <f t="shared" si="13"/>
        <v>0.22398073795378975</v>
      </c>
      <c r="H36" s="32">
        <f t="shared" si="13"/>
        <v>0.25105789066887607</v>
      </c>
      <c r="I36" s="32">
        <f t="shared" si="13"/>
        <v>0.23877757649227468</v>
      </c>
      <c r="J36" s="32">
        <f t="shared" si="13"/>
        <v>0.23309901227224755</v>
      </c>
      <c r="K36" s="32">
        <f t="shared" si="13"/>
        <v>0.23087377595626329</v>
      </c>
      <c r="L36" s="32">
        <f t="shared" si="13"/>
        <v>0.20202525842439084</v>
      </c>
      <c r="M36" s="32">
        <f t="shared" si="13"/>
        <v>0.21610362930837693</v>
      </c>
    </row>
    <row r="38" spans="2:13" ht="15.75" thickBot="1" x14ac:dyDescent="0.3">
      <c r="B38" s="93" t="s">
        <v>112</v>
      </c>
      <c r="C38" s="174">
        <f>SUM(C29,C32)-C35</f>
        <v>1338.04</v>
      </c>
      <c r="D38" s="174">
        <f t="shared" ref="D38:M38" si="14">SUM(D29,D32)-D35</f>
        <v>1713.0799999999997</v>
      </c>
      <c r="E38" s="174">
        <f t="shared" si="14"/>
        <v>2179.7199999999993</v>
      </c>
      <c r="F38" s="174">
        <f t="shared" si="14"/>
        <v>2220.2499999999986</v>
      </c>
      <c r="G38" s="174">
        <f t="shared" si="14"/>
        <v>1827.4400000000003</v>
      </c>
      <c r="H38" s="174">
        <f t="shared" si="14"/>
        <v>1346.8899999999999</v>
      </c>
      <c r="I38" s="174">
        <f t="shared" si="14"/>
        <v>1676.6000000000004</v>
      </c>
      <c r="J38" s="174">
        <f t="shared" si="14"/>
        <v>2913.9400000000005</v>
      </c>
      <c r="K38" s="174">
        <f t="shared" si="14"/>
        <v>4001.0099999999966</v>
      </c>
      <c r="L38" s="174">
        <f t="shared" si="14"/>
        <v>4734.4399999999978</v>
      </c>
      <c r="M38" s="174">
        <f t="shared" si="14"/>
        <v>5357.4300000000039</v>
      </c>
    </row>
    <row r="39" spans="2:13" ht="15.75" thickTop="1" x14ac:dyDescent="0.25">
      <c r="B39" s="32" t="s">
        <v>113</v>
      </c>
      <c r="C39" s="32">
        <f>C38/C6</f>
        <v>0.21674069322551695</v>
      </c>
      <c r="D39" s="32">
        <f t="shared" ref="D39:M39" si="15">D38/D6</f>
        <v>0.24356495330823388</v>
      </c>
      <c r="E39" s="32">
        <f t="shared" si="15"/>
        <v>0.24313772732951397</v>
      </c>
      <c r="F39" s="32">
        <f t="shared" si="15"/>
        <v>0.22662410968188404</v>
      </c>
      <c r="G39" s="32">
        <f t="shared" si="15"/>
        <v>0.19964210724110132</v>
      </c>
      <c r="H39" s="32">
        <f t="shared" si="15"/>
        <v>0.15445366298371049</v>
      </c>
      <c r="I39" s="32">
        <f t="shared" si="15"/>
        <v>0.16281099998737603</v>
      </c>
      <c r="J39" s="32">
        <f t="shared" si="15"/>
        <v>0.20176593838326351</v>
      </c>
      <c r="K39" s="32">
        <f t="shared" si="15"/>
        <v>0.24196076628982707</v>
      </c>
      <c r="L39" s="32">
        <f t="shared" si="15"/>
        <v>0.25089306769614755</v>
      </c>
      <c r="M39" s="32">
        <f t="shared" si="15"/>
        <v>0.23738445218972587</v>
      </c>
    </row>
    <row r="41" spans="2:13" x14ac:dyDescent="0.25">
      <c r="B41" s="77" t="s">
        <v>114</v>
      </c>
      <c r="C41" s="105">
        <f>IFERROR('Data Sheet'!B93,0)</f>
        <v>27.16</v>
      </c>
      <c r="D41" s="105">
        <f>IFERROR('Data Sheet'!C93,0)</f>
        <v>27.21</v>
      </c>
      <c r="E41" s="105">
        <f>IFERROR('Data Sheet'!D93,0)</f>
        <v>27.26</v>
      </c>
      <c r="F41" s="105">
        <f>IFERROR('Data Sheet'!E93,0)</f>
        <v>27.28</v>
      </c>
      <c r="G41" s="105">
        <f>IFERROR('Data Sheet'!F93,0)</f>
        <v>27.31</v>
      </c>
      <c r="H41" s="105">
        <f>IFERROR('Data Sheet'!G93,0)</f>
        <v>27.33</v>
      </c>
      <c r="I41" s="105">
        <f>IFERROR('Data Sheet'!H93,0)</f>
        <v>27.34</v>
      </c>
      <c r="J41" s="105">
        <f>IFERROR('Data Sheet'!I93,0)</f>
        <v>27.35</v>
      </c>
      <c r="K41" s="105">
        <f>IFERROR('Data Sheet'!J93,0)</f>
        <v>27.38</v>
      </c>
      <c r="L41" s="105">
        <f>IFERROR('Data Sheet'!K93,0)</f>
        <v>27.42</v>
      </c>
      <c r="M41" s="105">
        <f>IFERROR('Data Sheet'!L93,0)</f>
        <v>0</v>
      </c>
    </row>
    <row r="43" spans="2:13" x14ac:dyDescent="0.25">
      <c r="B43" s="2" t="s">
        <v>115</v>
      </c>
      <c r="C43" s="30">
        <f>IFERROR(C38/C41,0)</f>
        <v>49.265095729013254</v>
      </c>
      <c r="D43" s="30">
        <f t="shared" ref="D43:M43" si="16">IFERROR(D38/D41,0)</f>
        <v>62.957736126424095</v>
      </c>
      <c r="E43" s="30">
        <f t="shared" si="16"/>
        <v>79.960381511371949</v>
      </c>
      <c r="F43" s="30">
        <f t="shared" si="16"/>
        <v>81.38746334310845</v>
      </c>
      <c r="G43" s="30">
        <f t="shared" si="16"/>
        <v>66.914683266202871</v>
      </c>
      <c r="H43" s="30">
        <f t="shared" si="16"/>
        <v>49.282473472374676</v>
      </c>
      <c r="I43" s="30">
        <f t="shared" si="16"/>
        <v>61.324067300658392</v>
      </c>
      <c r="J43" s="30">
        <f t="shared" si="16"/>
        <v>106.54259597806217</v>
      </c>
      <c r="K43" s="30">
        <f t="shared" si="16"/>
        <v>146.12892622352069</v>
      </c>
      <c r="L43" s="30">
        <f t="shared" si="16"/>
        <v>172.66374908825665</v>
      </c>
      <c r="M43" s="30">
        <f t="shared" si="16"/>
        <v>0</v>
      </c>
    </row>
    <row r="44" spans="2:13" x14ac:dyDescent="0.25">
      <c r="B44" s="177" t="s">
        <v>116</v>
      </c>
      <c r="C44" s="177"/>
      <c r="D44" s="177">
        <f>IFERROR(D43/C43-1,0)</f>
        <v>0.27793796388275283</v>
      </c>
      <c r="E44" s="177">
        <f t="shared" ref="E44:M44" si="17">IFERROR(E43/D43-1,0)</f>
        <v>0.27006443419129944</v>
      </c>
      <c r="F44" s="177">
        <f t="shared" si="17"/>
        <v>1.7847361465296974E-2</v>
      </c>
      <c r="G44" s="177">
        <f t="shared" si="17"/>
        <v>-0.17782566850489112</v>
      </c>
      <c r="H44" s="177">
        <f t="shared" si="17"/>
        <v>-0.26350285069247026</v>
      </c>
      <c r="I44" s="177">
        <f t="shared" si="17"/>
        <v>0.24433826023431315</v>
      </c>
      <c r="J44" s="177">
        <f t="shared" si="17"/>
        <v>0.73737001911023436</v>
      </c>
      <c r="K44" s="177">
        <f t="shared" si="17"/>
        <v>0.37155402383483893</v>
      </c>
      <c r="L44" s="177">
        <f t="shared" si="17"/>
        <v>0.18158501229351365</v>
      </c>
      <c r="M44" s="177">
        <f t="shared" si="17"/>
        <v>-1</v>
      </c>
    </row>
    <row r="46" spans="2:13" x14ac:dyDescent="0.25">
      <c r="B46" s="77" t="s">
        <v>117</v>
      </c>
      <c r="C46" s="175">
        <f>IFERROR('Data Sheet'!B31,0)</f>
        <v>271.60000000000002</v>
      </c>
      <c r="D46" s="175">
        <f>IFERROR('Data Sheet'!C31,0)</f>
        <v>272.10000000000002</v>
      </c>
      <c r="E46" s="175">
        <f>IFERROR('Data Sheet'!D31,0)</f>
        <v>299.86</v>
      </c>
      <c r="F46" s="175">
        <f>IFERROR('Data Sheet'!E31,0)</f>
        <v>341</v>
      </c>
      <c r="G46" s="175">
        <f>IFERROR('Data Sheet'!F31,0)</f>
        <v>341.25</v>
      </c>
      <c r="H46" s="175">
        <f>IFERROR('Data Sheet'!G31,0)</f>
        <v>464.61</v>
      </c>
      <c r="I46" s="175">
        <f>IFERROR('Data Sheet'!H31,0)</f>
        <v>574.14</v>
      </c>
      <c r="J46" s="175">
        <f>IFERROR('Data Sheet'!I31,0)</f>
        <v>1011.95</v>
      </c>
      <c r="K46" s="175">
        <f>IFERROR('Data Sheet'!J31,0)</f>
        <v>1396.38</v>
      </c>
      <c r="L46" s="175">
        <f>IFERROR('Data Sheet'!K31,0)</f>
        <v>1919.4</v>
      </c>
      <c r="M46" s="175">
        <f>IFERROR('Data Sheet'!L31,0)</f>
        <v>0</v>
      </c>
    </row>
    <row r="47" spans="2:13" x14ac:dyDescent="0.25">
      <c r="B47" s="176" t="s">
        <v>188</v>
      </c>
      <c r="C47" s="176">
        <f>C46/C38</f>
        <v>0.20298346835670086</v>
      </c>
      <c r="D47" s="176">
        <f t="shared" ref="D47:M47" si="18">D46/D38</f>
        <v>0.15883671515632666</v>
      </c>
      <c r="E47" s="176">
        <f t="shared" si="18"/>
        <v>0.13756812801644253</v>
      </c>
      <c r="F47" s="176">
        <f t="shared" si="18"/>
        <v>0.15358630784821539</v>
      </c>
      <c r="G47" s="176">
        <f t="shared" si="18"/>
        <v>0.18673663704417104</v>
      </c>
      <c r="H47" s="176">
        <f t="shared" si="18"/>
        <v>0.34495021865185727</v>
      </c>
      <c r="I47" s="176">
        <f t="shared" si="18"/>
        <v>0.34244303948467125</v>
      </c>
      <c r="J47" s="176">
        <f t="shared" si="18"/>
        <v>0.34727894191369757</v>
      </c>
      <c r="K47" s="176">
        <f t="shared" si="18"/>
        <v>0.34900687576386996</v>
      </c>
      <c r="L47" s="176">
        <f t="shared" si="18"/>
        <v>0.40541225572612621</v>
      </c>
      <c r="M47" s="176">
        <f t="shared" si="18"/>
        <v>0</v>
      </c>
    </row>
    <row r="49" spans="1:13" x14ac:dyDescent="0.25">
      <c r="B49" s="178" t="s">
        <v>118</v>
      </c>
      <c r="C49" s="178">
        <f>IFERROR(1-C47,0)</f>
        <v>0.79701653164329911</v>
      </c>
      <c r="D49" s="178">
        <f t="shared" ref="D49:M49" si="19">IFERROR(1-D47,0)</f>
        <v>0.84116328484367331</v>
      </c>
      <c r="E49" s="178">
        <f t="shared" si="19"/>
        <v>0.86243187198355753</v>
      </c>
      <c r="F49" s="178">
        <f t="shared" si="19"/>
        <v>0.84641369215178464</v>
      </c>
      <c r="G49" s="178">
        <f t="shared" si="19"/>
        <v>0.81326336295582902</v>
      </c>
      <c r="H49" s="178">
        <f t="shared" si="19"/>
        <v>0.65504978134814273</v>
      </c>
      <c r="I49" s="178">
        <f t="shared" si="19"/>
        <v>0.65755696051532875</v>
      </c>
      <c r="J49" s="178">
        <f t="shared" si="19"/>
        <v>0.65272105808630243</v>
      </c>
      <c r="K49" s="178">
        <f t="shared" si="19"/>
        <v>0.65099312423612998</v>
      </c>
      <c r="L49" s="178">
        <f t="shared" si="19"/>
        <v>0.59458774427387384</v>
      </c>
      <c r="M49" s="178">
        <f t="shared" si="19"/>
        <v>1</v>
      </c>
    </row>
    <row r="52" spans="1:13" x14ac:dyDescent="0.25">
      <c r="A52" t="s">
        <v>95</v>
      </c>
      <c r="B52" s="29" t="s">
        <v>119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spans="1:13" x14ac:dyDescent="0.25">
      <c r="B53" s="79" t="s">
        <v>24</v>
      </c>
      <c r="C53" s="79">
        <f>IFERROR('Data Sheet'!B57,0)</f>
        <v>27.16</v>
      </c>
      <c r="D53" s="79">
        <f>IFERROR('Data Sheet'!C57,0)</f>
        <v>27.21</v>
      </c>
      <c r="E53" s="79">
        <f>IFERROR('Data Sheet'!D57,0)</f>
        <v>27.26</v>
      </c>
      <c r="F53" s="79">
        <f>IFERROR('Data Sheet'!E57,0)</f>
        <v>27.28</v>
      </c>
      <c r="G53" s="79">
        <f>IFERROR('Data Sheet'!F57,0)</f>
        <v>27.3</v>
      </c>
      <c r="H53" s="79">
        <f>IFERROR('Data Sheet'!G57,0)</f>
        <v>27.33</v>
      </c>
      <c r="I53" s="79">
        <f>IFERROR('Data Sheet'!H57,0)</f>
        <v>27.34</v>
      </c>
      <c r="J53" s="79">
        <f>IFERROR('Data Sheet'!I57,0)</f>
        <v>27.35</v>
      </c>
      <c r="K53" s="79">
        <f>IFERROR('Data Sheet'!J57,0)</f>
        <v>27.38</v>
      </c>
      <c r="L53" s="79">
        <f>IFERROR('Data Sheet'!K57,0)</f>
        <v>27.42</v>
      </c>
    </row>
    <row r="54" spans="1:13" x14ac:dyDescent="0.25">
      <c r="B54" t="s">
        <v>25</v>
      </c>
      <c r="C54">
        <f>IFERROR('Data Sheet'!B58,0)</f>
        <v>3625.93</v>
      </c>
      <c r="D54">
        <f>IFERROR('Data Sheet'!C58,0)</f>
        <v>5317.86</v>
      </c>
      <c r="E54">
        <f>IFERROR('Data Sheet'!D58,0)</f>
        <v>7002.81</v>
      </c>
      <c r="F54">
        <f>IFERROR('Data Sheet'!E58,0)</f>
        <v>8891.44</v>
      </c>
      <c r="G54">
        <f>IFERROR('Data Sheet'!F58,0)</f>
        <v>9953.6299999999992</v>
      </c>
      <c r="H54">
        <f>IFERROR('Data Sheet'!G58,0)</f>
        <v>11410.75</v>
      </c>
      <c r="I54">
        <f>IFERROR('Data Sheet'!H58,0)</f>
        <v>12580.66</v>
      </c>
      <c r="J54">
        <f>IFERROR('Data Sheet'!I58,0)</f>
        <v>14962.93</v>
      </c>
      <c r="K54">
        <f>IFERROR('Data Sheet'!J58,0)</f>
        <v>18018.150000000001</v>
      </c>
      <c r="L54">
        <f>IFERROR('Data Sheet'!K58,0)</f>
        <v>21269.07</v>
      </c>
    </row>
    <row r="55" spans="1:13" x14ac:dyDescent="0.25">
      <c r="B55" t="s">
        <v>71</v>
      </c>
      <c r="C55">
        <f>IFERROR('Data Sheet'!B59,0)</f>
        <v>22.57</v>
      </c>
      <c r="D55">
        <f>IFERROR('Data Sheet'!C59,0)</f>
        <v>111.85</v>
      </c>
      <c r="E55">
        <f>IFERROR('Data Sheet'!D59,0)</f>
        <v>150.84</v>
      </c>
      <c r="F55">
        <f>IFERROR('Data Sheet'!E59,0)</f>
        <v>186.76</v>
      </c>
      <c r="G55">
        <f>IFERROR('Data Sheet'!F59,0)</f>
        <v>249</v>
      </c>
      <c r="H55">
        <f>IFERROR('Data Sheet'!G59,0)</f>
        <v>219.25</v>
      </c>
      <c r="I55">
        <f>IFERROR('Data Sheet'!H59,0)</f>
        <v>107.71</v>
      </c>
      <c r="J55">
        <f>IFERROR('Data Sheet'!I59,0)</f>
        <v>288.41000000000003</v>
      </c>
      <c r="K55">
        <f>IFERROR('Data Sheet'!J59,0)</f>
        <v>419.44</v>
      </c>
      <c r="L55">
        <f>IFERROR('Data Sheet'!K59,0)</f>
        <v>458.13</v>
      </c>
    </row>
    <row r="56" spans="1:13" x14ac:dyDescent="0.25">
      <c r="B56" s="179" t="s">
        <v>72</v>
      </c>
      <c r="C56" s="179">
        <f>IFERROR('Data Sheet'!B60,0)</f>
        <v>1263.3499999999999</v>
      </c>
      <c r="D56" s="179">
        <f>IFERROR('Data Sheet'!C60,0)</f>
        <v>1552.16</v>
      </c>
      <c r="E56" s="179">
        <f>IFERROR('Data Sheet'!D60,0)</f>
        <v>2341.3200000000002</v>
      </c>
      <c r="F56" s="179">
        <f>IFERROR('Data Sheet'!E60,0)</f>
        <v>2281.35</v>
      </c>
      <c r="G56" s="179">
        <f>IFERROR('Data Sheet'!F60,0)</f>
        <v>2219.79</v>
      </c>
      <c r="H56" s="179">
        <f>IFERROR('Data Sheet'!G60,0)</f>
        <v>2901.28</v>
      </c>
      <c r="I56" s="179">
        <f>IFERROR('Data Sheet'!H60,0)</f>
        <v>3424.12</v>
      </c>
      <c r="J56" s="179">
        <f>IFERROR('Data Sheet'!I60,0)</f>
        <v>3918.95</v>
      </c>
      <c r="K56" s="179">
        <f>IFERROR('Data Sheet'!J60,0)</f>
        <v>4650.16</v>
      </c>
      <c r="L56" s="179">
        <f>IFERROR('Data Sheet'!K60,0)</f>
        <v>5419.79</v>
      </c>
    </row>
    <row r="57" spans="1:13" ht="15.75" thickBot="1" x14ac:dyDescent="0.3">
      <c r="B57" s="181" t="s">
        <v>120</v>
      </c>
      <c r="C57" s="93">
        <f>IFERROR('Data Sheet'!B61,0)</f>
        <v>4939.01</v>
      </c>
      <c r="D57" s="93">
        <f>IFERROR('Data Sheet'!C61,0)</f>
        <v>7009.08</v>
      </c>
      <c r="E57" s="93">
        <f>IFERROR('Data Sheet'!D61,0)</f>
        <v>9522.23</v>
      </c>
      <c r="F57" s="93">
        <f>IFERROR('Data Sheet'!E61,0)</f>
        <v>11386.83</v>
      </c>
      <c r="G57" s="93">
        <f>IFERROR('Data Sheet'!F61,0)</f>
        <v>12449.72</v>
      </c>
      <c r="H57" s="93">
        <f>IFERROR('Data Sheet'!G61,0)</f>
        <v>14558.61</v>
      </c>
      <c r="I57" s="93">
        <f>IFERROR('Data Sheet'!H61,0)</f>
        <v>16139.83</v>
      </c>
      <c r="J57" s="93">
        <f>IFERROR('Data Sheet'!I61,0)</f>
        <v>19197.64</v>
      </c>
      <c r="K57" s="93">
        <f>IFERROR('Data Sheet'!J61,0)</f>
        <v>23115.13</v>
      </c>
      <c r="L57" s="93">
        <f>IFERROR('Data Sheet'!K61,0)</f>
        <v>27174.41</v>
      </c>
      <c r="M57" s="2"/>
    </row>
    <row r="58" spans="1:13" ht="15.75" thickTop="1" x14ac:dyDescent="0.25">
      <c r="B58" s="2"/>
    </row>
    <row r="59" spans="1:13" x14ac:dyDescent="0.25">
      <c r="B59" s="79" t="s">
        <v>122</v>
      </c>
      <c r="C59" s="79">
        <f>IFERROR('Data Sheet'!B62,0)</f>
        <v>789.59</v>
      </c>
      <c r="D59" s="79">
        <f>IFERROR('Data Sheet'!C62,0)</f>
        <v>872.78</v>
      </c>
      <c r="E59" s="79">
        <f>IFERROR('Data Sheet'!D62,0)</f>
        <v>1501.69</v>
      </c>
      <c r="F59" s="79">
        <f>IFERROR('Data Sheet'!E62,0)</f>
        <v>1874.58</v>
      </c>
      <c r="G59" s="79">
        <f>IFERROR('Data Sheet'!F62,0)</f>
        <v>2377.52</v>
      </c>
      <c r="H59" s="79">
        <f>IFERROR('Data Sheet'!G62,0)</f>
        <v>2433.3000000000002</v>
      </c>
      <c r="I59" s="79">
        <f>IFERROR('Data Sheet'!H62,0)</f>
        <v>2424.2800000000002</v>
      </c>
      <c r="J59" s="79">
        <f>IFERROR('Data Sheet'!I62,0)</f>
        <v>2689.99</v>
      </c>
      <c r="K59" s="79">
        <f>IFERROR('Data Sheet'!J62,0)</f>
        <v>2914.38</v>
      </c>
      <c r="L59" s="79">
        <f>IFERROR('Data Sheet'!K62,0)</f>
        <v>3473.47</v>
      </c>
    </row>
    <row r="60" spans="1:13" x14ac:dyDescent="0.25">
      <c r="B60" t="s">
        <v>28</v>
      </c>
      <c r="C60">
        <f>IFERROR('Data Sheet'!B63,0)</f>
        <v>94.48</v>
      </c>
      <c r="D60">
        <f>IFERROR('Data Sheet'!C63,0)</f>
        <v>373.77</v>
      </c>
      <c r="E60">
        <f>IFERROR('Data Sheet'!D63,0)</f>
        <v>333.21</v>
      </c>
      <c r="F60">
        <f>IFERROR('Data Sheet'!E63,0)</f>
        <v>449.74</v>
      </c>
      <c r="G60">
        <f>IFERROR('Data Sheet'!F63,0)</f>
        <v>312.17</v>
      </c>
      <c r="H60">
        <f>IFERROR('Data Sheet'!G63,0)</f>
        <v>314.29000000000002</v>
      </c>
      <c r="I60">
        <f>IFERROR('Data Sheet'!H63,0)</f>
        <v>504.78</v>
      </c>
      <c r="J60">
        <f>IFERROR('Data Sheet'!I63,0)</f>
        <v>472.07</v>
      </c>
      <c r="K60">
        <f>IFERROR('Data Sheet'!J63,0)</f>
        <v>555.1</v>
      </c>
      <c r="L60">
        <f>IFERROR('Data Sheet'!K63,0)</f>
        <v>491.47</v>
      </c>
    </row>
    <row r="61" spans="1:13" x14ac:dyDescent="0.25">
      <c r="B61" t="s">
        <v>29</v>
      </c>
      <c r="C61">
        <f>IFERROR('Data Sheet'!B64,0)</f>
        <v>3388.24</v>
      </c>
      <c r="D61">
        <f>IFERROR('Data Sheet'!C64,0)</f>
        <v>4987.13</v>
      </c>
      <c r="E61">
        <f>IFERROR('Data Sheet'!D64,0)</f>
        <v>5580.84</v>
      </c>
      <c r="F61">
        <f>IFERROR('Data Sheet'!E64,0)</f>
        <v>4922.5200000000004</v>
      </c>
      <c r="G61">
        <f>IFERROR('Data Sheet'!F64,0)</f>
        <v>5748.77</v>
      </c>
      <c r="H61">
        <f>IFERROR('Data Sheet'!G64,0)</f>
        <v>3902.14</v>
      </c>
      <c r="I61">
        <f>IFERROR('Data Sheet'!H64,0)</f>
        <v>7720.58</v>
      </c>
      <c r="J61">
        <f>IFERROR('Data Sheet'!I64,0)</f>
        <v>12320.66</v>
      </c>
      <c r="K61">
        <f>IFERROR('Data Sheet'!J64,0)</f>
        <v>13526.96</v>
      </c>
      <c r="L61">
        <f>IFERROR('Data Sheet'!K64,0)</f>
        <v>14790.9</v>
      </c>
    </row>
    <row r="62" spans="1:13" x14ac:dyDescent="0.25">
      <c r="B62" s="179" t="s">
        <v>73</v>
      </c>
      <c r="C62" s="179">
        <f>IFERROR('Data Sheet'!B65,0)</f>
        <v>666.7</v>
      </c>
      <c r="D62" s="179">
        <f>IFERROR('Data Sheet'!C65,0)</f>
        <v>775.4</v>
      </c>
      <c r="E62" s="179">
        <f>IFERROR('Data Sheet'!D65,0)</f>
        <v>2106.4899999999998</v>
      </c>
      <c r="F62" s="179">
        <f>IFERROR('Data Sheet'!E65,0)</f>
        <v>4139.99</v>
      </c>
      <c r="G62" s="179">
        <f>IFERROR('Data Sheet'!F65,0)</f>
        <v>4011.26</v>
      </c>
      <c r="H62" s="179">
        <f>IFERROR('Data Sheet'!G65,0)</f>
        <v>7908.88</v>
      </c>
      <c r="I62" s="179">
        <f>IFERROR('Data Sheet'!H65,0)</f>
        <v>5490.19</v>
      </c>
      <c r="J62" s="179">
        <f>IFERROR('Data Sheet'!I65,0)</f>
        <v>3714.92</v>
      </c>
      <c r="K62" s="179">
        <f>IFERROR('Data Sheet'!J65,0)</f>
        <v>6118.69</v>
      </c>
      <c r="L62" s="179">
        <f>IFERROR('Data Sheet'!K65,0)</f>
        <v>8418.57</v>
      </c>
    </row>
    <row r="63" spans="1:13" x14ac:dyDescent="0.25">
      <c r="B63" s="35" t="s">
        <v>121</v>
      </c>
      <c r="C63" s="31">
        <f>IFERROR(SUM(C59:C62)-C68,0)</f>
        <v>4548.8099999999995</v>
      </c>
      <c r="D63" s="31">
        <f t="shared" ref="D63:L63" si="20">IFERROR(SUM(D59:D62)-D68,0)</f>
        <v>6598.08</v>
      </c>
      <c r="E63" s="31">
        <f t="shared" si="20"/>
        <v>7847.59</v>
      </c>
      <c r="F63" s="31">
        <f t="shared" si="20"/>
        <v>7703.87</v>
      </c>
      <c r="G63" s="31">
        <f t="shared" si="20"/>
        <v>8840.02</v>
      </c>
      <c r="H63" s="31">
        <f t="shared" si="20"/>
        <v>7695.4900000000007</v>
      </c>
      <c r="I63" s="31">
        <f t="shared" si="20"/>
        <v>11982.919999999998</v>
      </c>
      <c r="J63" s="31">
        <f t="shared" si="20"/>
        <v>16784.7</v>
      </c>
      <c r="K63" s="31">
        <f t="shared" si="20"/>
        <v>21185.399999999998</v>
      </c>
      <c r="L63" s="31">
        <f t="shared" si="20"/>
        <v>24798.010000000002</v>
      </c>
      <c r="M63" s="31"/>
    </row>
    <row r="65" spans="1:13" x14ac:dyDescent="0.25">
      <c r="B65" s="79" t="s">
        <v>78</v>
      </c>
      <c r="C65" s="79">
        <f>IFERROR('Data Sheet'!B67,0)</f>
        <v>32.64</v>
      </c>
      <c r="D65" s="79">
        <f>IFERROR('Data Sheet'!C67,0)</f>
        <v>50.04</v>
      </c>
      <c r="E65" s="79">
        <f>IFERROR('Data Sheet'!D67,0)</f>
        <v>68</v>
      </c>
      <c r="F65" s="79">
        <f>IFERROR('Data Sheet'!E67,0)</f>
        <v>84.29</v>
      </c>
      <c r="G65" s="79">
        <f>IFERROR('Data Sheet'!F67,0)</f>
        <v>86.76</v>
      </c>
      <c r="H65" s="79">
        <f>IFERROR('Data Sheet'!G67,0)</f>
        <v>158.16</v>
      </c>
      <c r="I65" s="79">
        <f>IFERROR('Data Sheet'!H67,0)</f>
        <v>302.04000000000002</v>
      </c>
      <c r="J65" s="79">
        <f>IFERROR('Data Sheet'!I67,0)</f>
        <v>368.92</v>
      </c>
      <c r="K65" s="79">
        <f>IFERROR('Data Sheet'!J67,0)</f>
        <v>373.78</v>
      </c>
      <c r="L65" s="79">
        <f>IFERROR('Data Sheet'!K67,0)</f>
        <v>549.64</v>
      </c>
    </row>
    <row r="66" spans="1:13" x14ac:dyDescent="0.25">
      <c r="B66" t="s">
        <v>45</v>
      </c>
      <c r="C66">
        <f>IFERROR('Data Sheet'!B68,0)</f>
        <v>308.39</v>
      </c>
      <c r="D66">
        <f>IFERROR('Data Sheet'!C68,0)</f>
        <v>335.9</v>
      </c>
      <c r="E66">
        <f>IFERROR('Data Sheet'!D68,0)</f>
        <v>394.64</v>
      </c>
      <c r="F66">
        <f>IFERROR('Data Sheet'!E68,0)</f>
        <v>633.38</v>
      </c>
      <c r="G66">
        <f>IFERROR('Data Sheet'!F68,0)</f>
        <v>572.35</v>
      </c>
      <c r="H66">
        <f>IFERROR('Data Sheet'!G68,0)</f>
        <v>874.6</v>
      </c>
      <c r="I66">
        <f>IFERROR('Data Sheet'!H68,0)</f>
        <v>1132.4000000000001</v>
      </c>
      <c r="J66">
        <f>IFERROR('Data Sheet'!I68,0)</f>
        <v>1278.44</v>
      </c>
      <c r="K66">
        <f>IFERROR('Data Sheet'!J68,0)</f>
        <v>1409.64</v>
      </c>
      <c r="L66">
        <f>IFERROR('Data Sheet'!K68,0)</f>
        <v>1563.75</v>
      </c>
    </row>
    <row r="67" spans="1:13" x14ac:dyDescent="0.25">
      <c r="B67" t="s">
        <v>87</v>
      </c>
      <c r="C67">
        <f>IFERROR('Data Sheet'!B69,0)</f>
        <v>49.17</v>
      </c>
      <c r="D67">
        <f>IFERROR('Data Sheet'!C69,0)</f>
        <v>25.06</v>
      </c>
      <c r="E67">
        <f>IFERROR('Data Sheet'!D69,0)</f>
        <v>1212</v>
      </c>
      <c r="F67">
        <f>IFERROR('Data Sheet'!E69,0)</f>
        <v>2965.29</v>
      </c>
      <c r="G67">
        <f>IFERROR('Data Sheet'!F69,0)</f>
        <v>2950.59</v>
      </c>
      <c r="H67">
        <f>IFERROR('Data Sheet'!G69,0)</f>
        <v>5830.36</v>
      </c>
      <c r="I67">
        <f>IFERROR('Data Sheet'!H69,0)</f>
        <v>2722.47</v>
      </c>
      <c r="J67">
        <f>IFERROR('Data Sheet'!I69,0)</f>
        <v>765.58</v>
      </c>
      <c r="K67">
        <f>IFERROR('Data Sheet'!J69,0)</f>
        <v>146.31</v>
      </c>
      <c r="L67">
        <f>IFERROR('Data Sheet'!K69,0)</f>
        <v>263.01</v>
      </c>
    </row>
    <row r="68" spans="1:13" x14ac:dyDescent="0.25">
      <c r="B68" s="180" t="s">
        <v>123</v>
      </c>
      <c r="C68" s="180">
        <f>IFERROR(SUM(C65:C67),0)</f>
        <v>390.2</v>
      </c>
      <c r="D68" s="180">
        <f t="shared" ref="D68:L68" si="21">IFERROR(SUM(D65:D67),0)</f>
        <v>411</v>
      </c>
      <c r="E68" s="180">
        <f t="shared" si="21"/>
        <v>1674.6399999999999</v>
      </c>
      <c r="F68" s="180">
        <f t="shared" si="21"/>
        <v>3682.96</v>
      </c>
      <c r="G68" s="180">
        <f t="shared" si="21"/>
        <v>3609.7000000000003</v>
      </c>
      <c r="H68" s="180">
        <f t="shared" si="21"/>
        <v>6863.12</v>
      </c>
      <c r="I68" s="180">
        <f t="shared" si="21"/>
        <v>4156.91</v>
      </c>
      <c r="J68" s="180">
        <f t="shared" si="21"/>
        <v>2412.94</v>
      </c>
      <c r="K68" s="180">
        <f t="shared" si="21"/>
        <v>1929.73</v>
      </c>
      <c r="L68" s="180">
        <f t="shared" si="21"/>
        <v>2376.3999999999996</v>
      </c>
      <c r="M68" s="35"/>
    </row>
    <row r="69" spans="1:13" ht="15.75" thickBot="1" x14ac:dyDescent="0.3">
      <c r="B69" s="93" t="s">
        <v>124</v>
      </c>
      <c r="C69" s="93">
        <f>IFERROR(SUM(C63,C68),0)</f>
        <v>4939.0099999999993</v>
      </c>
      <c r="D69" s="93">
        <f t="shared" ref="D69:L69" si="22">IFERROR(SUM(D63,D68),0)</f>
        <v>7009.08</v>
      </c>
      <c r="E69" s="93">
        <f t="shared" si="22"/>
        <v>9522.23</v>
      </c>
      <c r="F69" s="93">
        <f t="shared" si="22"/>
        <v>11386.83</v>
      </c>
      <c r="G69" s="93">
        <f t="shared" si="22"/>
        <v>12449.720000000001</v>
      </c>
      <c r="H69" s="93">
        <f t="shared" si="22"/>
        <v>14558.61</v>
      </c>
      <c r="I69" s="93">
        <f t="shared" si="22"/>
        <v>16139.829999999998</v>
      </c>
      <c r="J69" s="93">
        <f t="shared" si="22"/>
        <v>19197.64</v>
      </c>
      <c r="K69" s="93">
        <f t="shared" si="22"/>
        <v>23115.129999999997</v>
      </c>
      <c r="L69" s="93">
        <f t="shared" si="22"/>
        <v>27174.410000000003</v>
      </c>
      <c r="M69" s="2"/>
    </row>
    <row r="70" spans="1:13" ht="15.75" thickTop="1" x14ac:dyDescent="0.25"/>
    <row r="71" spans="1:13" x14ac:dyDescent="0.25">
      <c r="B71" s="38" t="s">
        <v>125</v>
      </c>
      <c r="C71" s="39" t="b">
        <f>C69=C57</f>
        <v>1</v>
      </c>
      <c r="D71" s="39" t="b">
        <f t="shared" ref="D71:L71" si="23">D69=D57</f>
        <v>1</v>
      </c>
      <c r="E71" s="39" t="b">
        <f t="shared" si="23"/>
        <v>1</v>
      </c>
      <c r="F71" s="39" t="b">
        <f t="shared" si="23"/>
        <v>1</v>
      </c>
      <c r="G71" s="39" t="b">
        <f t="shared" si="23"/>
        <v>1</v>
      </c>
      <c r="H71" s="39" t="b">
        <f t="shared" si="23"/>
        <v>1</v>
      </c>
      <c r="I71" s="39" t="b">
        <f t="shared" si="23"/>
        <v>1</v>
      </c>
      <c r="J71" s="39" t="b">
        <f t="shared" si="23"/>
        <v>1</v>
      </c>
      <c r="K71" s="39" t="b">
        <f t="shared" si="23"/>
        <v>1</v>
      </c>
      <c r="L71" s="39" t="b">
        <f t="shared" si="23"/>
        <v>1</v>
      </c>
    </row>
    <row r="74" spans="1:13" x14ac:dyDescent="0.25">
      <c r="A74" t="s">
        <v>95</v>
      </c>
      <c r="B74" s="29" t="s">
        <v>126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</row>
    <row r="76" spans="1:13" x14ac:dyDescent="0.25">
      <c r="B76" s="2" t="s">
        <v>151</v>
      </c>
    </row>
    <row r="77" spans="1:13" x14ac:dyDescent="0.25">
      <c r="B77" s="79" t="s">
        <v>128</v>
      </c>
      <c r="C77" s="171">
        <f>IFERROR('Cashflow raw data'!E4,0)</f>
        <v>1719</v>
      </c>
      <c r="D77" s="171">
        <f>IFERROR('Cashflow raw data'!F4,0)</f>
        <v>2196</v>
      </c>
      <c r="E77" s="171">
        <f>IFERROR('Cashflow raw data'!G4,0)</f>
        <v>2851</v>
      </c>
      <c r="F77" s="171">
        <f>IFERROR('Cashflow raw data'!H4,0)</f>
        <v>2941</v>
      </c>
      <c r="G77" s="171">
        <f>IFERROR('Cashflow raw data'!I4,0)</f>
        <v>2236</v>
      </c>
      <c r="H77" s="171">
        <f>IFERROR('Cashflow raw data'!J4,0)</f>
        <v>1912</v>
      </c>
      <c r="I77" s="171">
        <f>IFERROR('Cashflow raw data'!K4,0)</f>
        <v>2172</v>
      </c>
      <c r="J77" s="171">
        <f>IFERROR('Cashflow raw data'!L4,0)</f>
        <v>3527</v>
      </c>
      <c r="K77" s="171">
        <f>IFERROR('Cashflow raw data'!M4,0)</f>
        <v>4404</v>
      </c>
      <c r="L77" s="171">
        <f>IFERROR('Cashflow raw data'!N4,0)</f>
        <v>4849</v>
      </c>
    </row>
    <row r="78" spans="1:13" x14ac:dyDescent="0.25">
      <c r="B78" t="s">
        <v>78</v>
      </c>
      <c r="C78" s="171">
        <f>IFERROR('Cashflow raw data'!E5,0)</f>
        <v>-22</v>
      </c>
      <c r="D78" s="171">
        <f>IFERROR('Cashflow raw data'!F5,0)</f>
        <v>-17</v>
      </c>
      <c r="E78" s="171">
        <f>IFERROR('Cashflow raw data'!G5,0)</f>
        <v>-18</v>
      </c>
      <c r="F78" s="171">
        <f>IFERROR('Cashflow raw data'!H5,0)</f>
        <v>-18</v>
      </c>
      <c r="G78" s="171">
        <f>IFERROR('Cashflow raw data'!I5,0)</f>
        <v>0</v>
      </c>
      <c r="H78" s="171">
        <f>IFERROR('Cashflow raw data'!J5,0)</f>
        <v>-73</v>
      </c>
      <c r="I78" s="171">
        <f>IFERROR('Cashflow raw data'!K5,0)</f>
        <v>-147</v>
      </c>
      <c r="J78" s="171">
        <f>IFERROR('Cashflow raw data'!L5,0)</f>
        <v>-59</v>
      </c>
      <c r="K78" s="171">
        <f>IFERROR('Cashflow raw data'!M5,0)</f>
        <v>-5</v>
      </c>
      <c r="L78" s="171">
        <f>IFERROR('Cashflow raw data'!N5,0)</f>
        <v>-176</v>
      </c>
    </row>
    <row r="79" spans="1:13" x14ac:dyDescent="0.25">
      <c r="B79" t="s">
        <v>45</v>
      </c>
      <c r="C79" s="171">
        <f>IFERROR('Cashflow raw data'!E6,0)</f>
        <v>-104</v>
      </c>
      <c r="D79" s="171">
        <f>IFERROR('Cashflow raw data'!F6,0)</f>
        <v>-28</v>
      </c>
      <c r="E79" s="171">
        <f>IFERROR('Cashflow raw data'!G6,0)</f>
        <v>-59</v>
      </c>
      <c r="F79" s="171">
        <f>IFERROR('Cashflow raw data'!H6,0)</f>
        <v>-239</v>
      </c>
      <c r="G79" s="171">
        <f>IFERROR('Cashflow raw data'!I6,0)</f>
        <v>61</v>
      </c>
      <c r="H79" s="171">
        <f>IFERROR('Cashflow raw data'!J6,0)</f>
        <v>-302</v>
      </c>
      <c r="I79" s="171">
        <f>IFERROR('Cashflow raw data'!K6,0)</f>
        <v>-258</v>
      </c>
      <c r="J79" s="171">
        <f>IFERROR('Cashflow raw data'!L6,0)</f>
        <v>-146</v>
      </c>
      <c r="K79" s="171">
        <f>IFERROR('Cashflow raw data'!M6,0)</f>
        <v>-131</v>
      </c>
      <c r="L79" s="171">
        <f>IFERROR('Cashflow raw data'!N6,0)</f>
        <v>-154</v>
      </c>
    </row>
    <row r="80" spans="1:13" x14ac:dyDescent="0.25">
      <c r="B80" t="s">
        <v>129</v>
      </c>
      <c r="C80" s="171">
        <f>IFERROR('Cashflow raw data'!E7,0)</f>
        <v>241</v>
      </c>
      <c r="D80" s="171">
        <f>IFERROR('Cashflow raw data'!F7,0)</f>
        <v>110</v>
      </c>
      <c r="E80" s="171">
        <f>IFERROR('Cashflow raw data'!G7,0)</f>
        <v>407</v>
      </c>
      <c r="F80" s="171">
        <f>IFERROR('Cashflow raw data'!H7,0)</f>
        <v>62</v>
      </c>
      <c r="G80" s="171">
        <f>IFERROR('Cashflow raw data'!I7,0)</f>
        <v>-235</v>
      </c>
      <c r="H80" s="171">
        <f>IFERROR('Cashflow raw data'!J7,0)</f>
        <v>495</v>
      </c>
      <c r="I80" s="171">
        <f>IFERROR('Cashflow raw data'!K7,0)</f>
        <v>283</v>
      </c>
      <c r="J80" s="171">
        <f>IFERROR('Cashflow raw data'!L7,0)</f>
        <v>22</v>
      </c>
      <c r="K80" s="171">
        <f>IFERROR('Cashflow raw data'!M7,0)</f>
        <v>304</v>
      </c>
      <c r="L80" s="171">
        <f>IFERROR('Cashflow raw data'!N7,0)</f>
        <v>440</v>
      </c>
    </row>
    <row r="81" spans="2:12" x14ac:dyDescent="0.25">
      <c r="B81" t="s">
        <v>130</v>
      </c>
      <c r="C81" s="171">
        <f>IFERROR('Cashflow raw data'!E8,0)</f>
        <v>-12</v>
      </c>
      <c r="D81" s="171">
        <f>IFERROR('Cashflow raw data'!F8,0)</f>
        <v>6</v>
      </c>
      <c r="E81" s="171">
        <f>IFERROR('Cashflow raw data'!G8,0)</f>
        <v>0</v>
      </c>
      <c r="F81" s="171">
        <f>IFERROR('Cashflow raw data'!H8,0)</f>
        <v>-1</v>
      </c>
      <c r="G81" s="171">
        <f>IFERROR('Cashflow raw data'!I8,0)</f>
        <v>1</v>
      </c>
      <c r="H81" s="171">
        <f>IFERROR('Cashflow raw data'!J8,0)</f>
        <v>0</v>
      </c>
      <c r="I81" s="171">
        <f>IFERROR('Cashflow raw data'!K8,0)</f>
        <v>0</v>
      </c>
      <c r="J81" s="171">
        <f>IFERROR('Cashflow raw data'!L8,0)</f>
        <v>0</v>
      </c>
      <c r="K81" s="171">
        <f>IFERROR('Cashflow raw data'!M8,0)</f>
        <v>0</v>
      </c>
      <c r="L81" s="171">
        <f>IFERROR('Cashflow raw data'!N8,0)</f>
        <v>0</v>
      </c>
    </row>
    <row r="82" spans="2:12" x14ac:dyDescent="0.25">
      <c r="B82" t="s">
        <v>131</v>
      </c>
      <c r="C82" s="171">
        <f>IFERROR('Cashflow raw data'!E9,0)</f>
        <v>160</v>
      </c>
      <c r="D82" s="171">
        <f>IFERROR('Cashflow raw data'!F9,0)</f>
        <v>92</v>
      </c>
      <c r="E82" s="171">
        <f>IFERROR('Cashflow raw data'!G9,0)</f>
        <v>109</v>
      </c>
      <c r="F82" s="171">
        <f>IFERROR('Cashflow raw data'!H9,0)</f>
        <v>-262</v>
      </c>
      <c r="G82" s="171">
        <f>IFERROR('Cashflow raw data'!I9,0)</f>
        <v>259</v>
      </c>
      <c r="H82" s="171">
        <f>IFERROR('Cashflow raw data'!J9,0)</f>
        <v>115</v>
      </c>
      <c r="I82" s="171">
        <f>IFERROR('Cashflow raw data'!K9,0)</f>
        <v>-10</v>
      </c>
      <c r="J82" s="171">
        <f>IFERROR('Cashflow raw data'!L9,0)</f>
        <v>249</v>
      </c>
      <c r="K82" s="171">
        <f>IFERROR('Cashflow raw data'!M9,0)</f>
        <v>220</v>
      </c>
      <c r="L82" s="171">
        <f>IFERROR('Cashflow raw data'!N9,0)</f>
        <v>101</v>
      </c>
    </row>
    <row r="83" spans="2:12" x14ac:dyDescent="0.25">
      <c r="B83" t="s">
        <v>132</v>
      </c>
      <c r="C83" s="171">
        <f>IFERROR('Cashflow raw data'!E10,0)</f>
        <v>263</v>
      </c>
      <c r="D83" s="171">
        <f>IFERROR('Cashflow raw data'!F10,0)</f>
        <v>163</v>
      </c>
      <c r="E83" s="171">
        <f>IFERROR('Cashflow raw data'!G10,0)</f>
        <v>438</v>
      </c>
      <c r="F83" s="171">
        <f>IFERROR('Cashflow raw data'!H10,0)</f>
        <v>-457</v>
      </c>
      <c r="G83" s="171">
        <f>IFERROR('Cashflow raw data'!I10,0)</f>
        <v>86</v>
      </c>
      <c r="H83" s="171">
        <f>IFERROR('Cashflow raw data'!J10,0)</f>
        <v>235</v>
      </c>
      <c r="I83" s="171">
        <f>IFERROR('Cashflow raw data'!K10,0)</f>
        <v>-131</v>
      </c>
      <c r="J83" s="171">
        <f>IFERROR('Cashflow raw data'!L10,0)</f>
        <v>66</v>
      </c>
      <c r="K83" s="171">
        <f>IFERROR('Cashflow raw data'!M10,0)</f>
        <v>388</v>
      </c>
      <c r="L83" s="171">
        <f>IFERROR('Cashflow raw data'!N10,0)</f>
        <v>211</v>
      </c>
    </row>
    <row r="84" spans="2:12" x14ac:dyDescent="0.25">
      <c r="B84" t="s">
        <v>133</v>
      </c>
      <c r="C84" s="183">
        <f>IFERROR('Cashflow raw data'!E11,0)</f>
        <v>-519</v>
      </c>
      <c r="D84" s="183">
        <f>IFERROR('Cashflow raw data'!F11,0)</f>
        <v>-652</v>
      </c>
      <c r="E84" s="183">
        <f>IFERROR('Cashflow raw data'!G11,0)</f>
        <v>-807</v>
      </c>
      <c r="F84" s="183">
        <f>IFERROR('Cashflow raw data'!H11,0)</f>
        <v>-908</v>
      </c>
      <c r="G84" s="183">
        <f>IFERROR('Cashflow raw data'!I11,0)</f>
        <v>-628</v>
      </c>
      <c r="H84" s="183">
        <f>IFERROR('Cashflow raw data'!J11,0)</f>
        <v>-457</v>
      </c>
      <c r="I84" s="183">
        <f>IFERROR('Cashflow raw data'!K11,0)</f>
        <v>-514</v>
      </c>
      <c r="J84" s="183">
        <f>IFERROR('Cashflow raw data'!L11,0)</f>
        <v>-770</v>
      </c>
      <c r="K84" s="183">
        <f>IFERROR('Cashflow raw data'!M11,0)</f>
        <v>-1068</v>
      </c>
      <c r="L84" s="183">
        <f>IFERROR('Cashflow raw data'!N11,0)</f>
        <v>-1080</v>
      </c>
    </row>
    <row r="85" spans="2:12" ht="15.75" thickBot="1" x14ac:dyDescent="0.3">
      <c r="B85" s="80" t="s">
        <v>154</v>
      </c>
      <c r="C85" s="182">
        <f>SUM(C77:C84)</f>
        <v>1726</v>
      </c>
      <c r="D85" s="182">
        <f t="shared" ref="D85:L85" si="24">SUM(D77:D84)</f>
        <v>1870</v>
      </c>
      <c r="E85" s="182">
        <f t="shared" si="24"/>
        <v>2921</v>
      </c>
      <c r="F85" s="182">
        <f t="shared" si="24"/>
        <v>1118</v>
      </c>
      <c r="G85" s="182">
        <f t="shared" si="24"/>
        <v>1780</v>
      </c>
      <c r="H85" s="182">
        <f t="shared" si="24"/>
        <v>1925</v>
      </c>
      <c r="I85" s="182">
        <f t="shared" si="24"/>
        <v>1395</v>
      </c>
      <c r="J85" s="182">
        <f t="shared" si="24"/>
        <v>2889</v>
      </c>
      <c r="K85" s="182">
        <f t="shared" si="24"/>
        <v>4112</v>
      </c>
      <c r="L85" s="182">
        <f t="shared" si="24"/>
        <v>4191</v>
      </c>
    </row>
    <row r="87" spans="2:12" x14ac:dyDescent="0.25">
      <c r="B87" s="2" t="s">
        <v>152</v>
      </c>
    </row>
    <row r="88" spans="2:12" x14ac:dyDescent="0.25">
      <c r="B88" s="79" t="s">
        <v>135</v>
      </c>
      <c r="C88" s="171">
        <f>IFERROR('Cashflow raw data'!E13,0)</f>
        <v>-510</v>
      </c>
      <c r="D88" s="171">
        <f>IFERROR('Cashflow raw data'!F13,0)</f>
        <v>-548</v>
      </c>
      <c r="E88" s="171">
        <f>IFERROR('Cashflow raw data'!G13,0)</f>
        <v>-748</v>
      </c>
      <c r="F88" s="171">
        <f>IFERROR('Cashflow raw data'!H13,0)</f>
        <v>-792</v>
      </c>
      <c r="G88" s="171">
        <f>IFERROR('Cashflow raw data'!I13,0)</f>
        <v>-546</v>
      </c>
      <c r="H88" s="171">
        <f>IFERROR('Cashflow raw data'!J13,0)</f>
        <v>-532</v>
      </c>
      <c r="I88" s="171">
        <f>IFERROR('Cashflow raw data'!K13,0)</f>
        <v>-641</v>
      </c>
      <c r="J88" s="171">
        <f>IFERROR('Cashflow raw data'!L13,0)</f>
        <v>-682</v>
      </c>
      <c r="K88" s="171">
        <f>IFERROR('Cashflow raw data'!M13,0)</f>
        <v>-819</v>
      </c>
      <c r="L88" s="171">
        <f>IFERROR('Cashflow raw data'!N13,0)</f>
        <v>-1039</v>
      </c>
    </row>
    <row r="89" spans="2:12" x14ac:dyDescent="0.25">
      <c r="B89" t="s">
        <v>136</v>
      </c>
      <c r="C89" s="171">
        <f>IFERROR('Cashflow raw data'!E14,0)</f>
        <v>1</v>
      </c>
      <c r="D89" s="171">
        <f>IFERROR('Cashflow raw data'!F14,0)</f>
        <v>1</v>
      </c>
      <c r="E89" s="171">
        <f>IFERROR('Cashflow raw data'!G14,0)</f>
        <v>3</v>
      </c>
      <c r="F89" s="171">
        <f>IFERROR('Cashflow raw data'!H14,0)</f>
        <v>2</v>
      </c>
      <c r="G89" s="171">
        <f>IFERROR('Cashflow raw data'!I14,0)</f>
        <v>1</v>
      </c>
      <c r="H89" s="171">
        <f>IFERROR('Cashflow raw data'!J14,0)</f>
        <v>17</v>
      </c>
      <c r="I89" s="171">
        <f>IFERROR('Cashflow raw data'!K14,0)</f>
        <v>2</v>
      </c>
      <c r="J89" s="171">
        <f>IFERROR('Cashflow raw data'!L14,0)</f>
        <v>9</v>
      </c>
      <c r="K89" s="171">
        <f>IFERROR('Cashflow raw data'!M14,0)</f>
        <v>4</v>
      </c>
      <c r="L89" s="171">
        <f>IFERROR('Cashflow raw data'!N14,0)</f>
        <v>11</v>
      </c>
    </row>
    <row r="90" spans="2:12" x14ac:dyDescent="0.25">
      <c r="B90" t="s">
        <v>137</v>
      </c>
      <c r="C90" s="171">
        <f>IFERROR('Cashflow raw data'!E15,0)</f>
        <v>-662</v>
      </c>
      <c r="D90" s="171">
        <f>IFERROR('Cashflow raw data'!F15,0)</f>
        <v>-4247</v>
      </c>
      <c r="E90" s="171">
        <f>IFERROR('Cashflow raw data'!G15,0)</f>
        <v>-6464</v>
      </c>
      <c r="F90" s="171">
        <f>IFERROR('Cashflow raw data'!H15,0)</f>
        <v>-7929</v>
      </c>
      <c r="G90" s="171">
        <f>IFERROR('Cashflow raw data'!I15,0)</f>
        <v>-8746</v>
      </c>
      <c r="H90" s="171">
        <f>IFERROR('Cashflow raw data'!J15,0)</f>
        <v>-3983</v>
      </c>
      <c r="I90" s="171">
        <f>IFERROR('Cashflow raw data'!K15,0)</f>
        <v>-7134</v>
      </c>
      <c r="J90" s="171">
        <f>IFERROR('Cashflow raw data'!L15,0)</f>
        <v>-9103</v>
      </c>
      <c r="K90" s="171">
        <f>IFERROR('Cashflow raw data'!M15,0)</f>
        <v>-6106</v>
      </c>
      <c r="L90" s="171">
        <f>IFERROR('Cashflow raw data'!N15,0)</f>
        <v>-6939</v>
      </c>
    </row>
    <row r="91" spans="2:12" x14ac:dyDescent="0.25">
      <c r="B91" t="s">
        <v>138</v>
      </c>
      <c r="C91" s="171">
        <f>IFERROR('Cashflow raw data'!E16,0)</f>
        <v>158</v>
      </c>
      <c r="D91" s="171">
        <f>IFERROR('Cashflow raw data'!F16,0)</f>
        <v>3051</v>
      </c>
      <c r="E91" s="171">
        <f>IFERROR('Cashflow raw data'!G16,0)</f>
        <v>6124</v>
      </c>
      <c r="F91" s="171">
        <f>IFERROR('Cashflow raw data'!H16,0)</f>
        <v>9051</v>
      </c>
      <c r="G91" s="171">
        <f>IFERROR('Cashflow raw data'!I16,0)</f>
        <v>8176</v>
      </c>
      <c r="H91" s="171">
        <f>IFERROR('Cashflow raw data'!J16,0)</f>
        <v>5971</v>
      </c>
      <c r="I91" s="171">
        <f>IFERROR('Cashflow raw data'!K16,0)</f>
        <v>3500</v>
      </c>
      <c r="J91" s="171">
        <f>IFERROR('Cashflow raw data'!L16,0)</f>
        <v>5080</v>
      </c>
      <c r="K91" s="171">
        <f>IFERROR('Cashflow raw data'!M16,0)</f>
        <v>5968</v>
      </c>
      <c r="L91" s="171">
        <f>IFERROR('Cashflow raw data'!N16,0)</f>
        <v>6826</v>
      </c>
    </row>
    <row r="92" spans="2:12" x14ac:dyDescent="0.25">
      <c r="B92" t="s">
        <v>139</v>
      </c>
      <c r="C92" s="171">
        <f>IFERROR('Cashflow raw data'!E17,0)</f>
        <v>4</v>
      </c>
      <c r="D92" s="171">
        <f>IFERROR('Cashflow raw data'!F17,0)</f>
        <v>3</v>
      </c>
      <c r="E92" s="171">
        <f>IFERROR('Cashflow raw data'!G17,0)</f>
        <v>12</v>
      </c>
      <c r="F92" s="171">
        <f>IFERROR('Cashflow raw data'!H17,0)</f>
        <v>90</v>
      </c>
      <c r="G92" s="171">
        <f>IFERROR('Cashflow raw data'!I17,0)</f>
        <v>204</v>
      </c>
      <c r="H92" s="171">
        <f>IFERROR('Cashflow raw data'!J17,0)</f>
        <v>192</v>
      </c>
      <c r="I92" s="171">
        <f>IFERROR('Cashflow raw data'!K17,0)</f>
        <v>398</v>
      </c>
      <c r="J92" s="171">
        <f>IFERROR('Cashflow raw data'!L17,0)</f>
        <v>204</v>
      </c>
      <c r="K92" s="171">
        <f>IFERROR('Cashflow raw data'!M17,0)</f>
        <v>112</v>
      </c>
      <c r="L92" s="171">
        <f>IFERROR('Cashflow raw data'!N17,0)</f>
        <v>188</v>
      </c>
    </row>
    <row r="93" spans="2:12" x14ac:dyDescent="0.25">
      <c r="B93" t="s">
        <v>140</v>
      </c>
      <c r="C93" s="171">
        <f>IFERROR('Cashflow raw data'!E18,0)</f>
        <v>107</v>
      </c>
      <c r="D93" s="171">
        <f>IFERROR('Cashflow raw data'!F18,0)</f>
        <v>0</v>
      </c>
      <c r="E93" s="171">
        <f>IFERROR('Cashflow raw data'!G18,0)</f>
        <v>52</v>
      </c>
      <c r="F93" s="171">
        <f>IFERROR('Cashflow raw data'!H18,0)</f>
        <v>65</v>
      </c>
      <c r="G93" s="171">
        <f>IFERROR('Cashflow raw data'!I18,0)</f>
        <v>68</v>
      </c>
      <c r="H93" s="171">
        <f>IFERROR('Cashflow raw data'!J18,0)</f>
        <v>0</v>
      </c>
      <c r="I93" s="171">
        <f>IFERROR('Cashflow raw data'!K18,0)</f>
        <v>27</v>
      </c>
      <c r="J93" s="171">
        <f>IFERROR('Cashflow raw data'!L18,0)</f>
        <v>41</v>
      </c>
      <c r="K93" s="171">
        <f>IFERROR('Cashflow raw data'!M18,0)</f>
        <v>95</v>
      </c>
      <c r="L93" s="171">
        <f>IFERROR('Cashflow raw data'!N18,0)</f>
        <v>136</v>
      </c>
    </row>
    <row r="94" spans="2:12" x14ac:dyDescent="0.25">
      <c r="B94" t="s">
        <v>141</v>
      </c>
      <c r="C94" s="171">
        <f>IFERROR('Cashflow raw data'!E19,0)</f>
        <v>-109</v>
      </c>
      <c r="D94" s="171">
        <f>IFERROR('Cashflow raw data'!F19,0)</f>
        <v>-39</v>
      </c>
      <c r="E94" s="171">
        <f>IFERROR('Cashflow raw data'!G19,0)</f>
        <v>-16</v>
      </c>
      <c r="F94" s="171">
        <f>IFERROR('Cashflow raw data'!H19,0)</f>
        <v>-30</v>
      </c>
      <c r="G94" s="171">
        <f>IFERROR('Cashflow raw data'!I19,0)</f>
        <v>-1</v>
      </c>
      <c r="H94" s="171">
        <f>IFERROR('Cashflow raw data'!J19,0)</f>
        <v>0</v>
      </c>
      <c r="I94" s="171">
        <f>IFERROR('Cashflow raw data'!K19,0)</f>
        <v>0</v>
      </c>
      <c r="J94" s="171">
        <f>IFERROR('Cashflow raw data'!L19,0)</f>
        <v>0</v>
      </c>
      <c r="K94" s="171">
        <f>IFERROR('Cashflow raw data'!M19,0)</f>
        <v>0</v>
      </c>
      <c r="L94" s="171">
        <f>IFERROR('Cashflow raw data'!N19,0)</f>
        <v>0</v>
      </c>
    </row>
    <row r="95" spans="2:12" x14ac:dyDescent="0.25">
      <c r="B95" t="s">
        <v>142</v>
      </c>
      <c r="C95" s="183">
        <f>IFERROR('Cashflow raw data'!E20,0)</f>
        <v>9</v>
      </c>
      <c r="D95" s="183">
        <f>IFERROR('Cashflow raw data'!F20,0)</f>
        <v>36</v>
      </c>
      <c r="E95" s="183">
        <f>IFERROR('Cashflow raw data'!G20,0)</f>
        <v>-1106</v>
      </c>
      <c r="F95" s="183">
        <f>IFERROR('Cashflow raw data'!H20,0)</f>
        <v>-1117</v>
      </c>
      <c r="G95" s="183">
        <f>IFERROR('Cashflow raw data'!I20,0)</f>
        <v>-665</v>
      </c>
      <c r="H95" s="183">
        <f>IFERROR('Cashflow raw data'!J20,0)</f>
        <v>-3290</v>
      </c>
      <c r="I95" s="183">
        <f>IFERROR('Cashflow raw data'!K20,0)</f>
        <v>2864</v>
      </c>
      <c r="J95" s="183">
        <f>IFERROR('Cashflow raw data'!L20,0)</f>
        <v>2055</v>
      </c>
      <c r="K95" s="183">
        <f>IFERROR('Cashflow raw data'!M20,0)</f>
        <v>-2089</v>
      </c>
      <c r="L95" s="183">
        <f>IFERROR('Cashflow raw data'!N20,0)</f>
        <v>-1643</v>
      </c>
    </row>
    <row r="96" spans="2:12" ht="15.75" thickBot="1" x14ac:dyDescent="0.3">
      <c r="B96" s="80" t="s">
        <v>155</v>
      </c>
      <c r="C96" s="182">
        <f>SUM(C88:C95)</f>
        <v>-1002</v>
      </c>
      <c r="D96" s="182">
        <f t="shared" ref="D96:L96" si="25">SUM(D88:D95)</f>
        <v>-1743</v>
      </c>
      <c r="E96" s="182">
        <f t="shared" si="25"/>
        <v>-2143</v>
      </c>
      <c r="F96" s="182">
        <f t="shared" si="25"/>
        <v>-660</v>
      </c>
      <c r="G96" s="182">
        <f t="shared" si="25"/>
        <v>-1509</v>
      </c>
      <c r="H96" s="182">
        <f t="shared" si="25"/>
        <v>-1625</v>
      </c>
      <c r="I96" s="182">
        <f t="shared" si="25"/>
        <v>-984</v>
      </c>
      <c r="J96" s="182">
        <f t="shared" si="25"/>
        <v>-2396</v>
      </c>
      <c r="K96" s="182">
        <f t="shared" si="25"/>
        <v>-2835</v>
      </c>
      <c r="L96" s="182">
        <f t="shared" si="25"/>
        <v>-2460</v>
      </c>
    </row>
    <row r="98" spans="2:12" x14ac:dyDescent="0.25">
      <c r="B98" s="2" t="s">
        <v>153</v>
      </c>
    </row>
    <row r="99" spans="2:12" x14ac:dyDescent="0.25">
      <c r="B99" s="79" t="s">
        <v>144</v>
      </c>
      <c r="C99" s="171">
        <f>IFERROR('Cashflow raw data'!E22,0)</f>
        <v>5</v>
      </c>
      <c r="D99" s="171">
        <f>IFERROR('Cashflow raw data'!F22,0)</f>
        <v>6</v>
      </c>
      <c r="E99" s="171">
        <f>IFERROR('Cashflow raw data'!G22,0)</f>
        <v>19</v>
      </c>
      <c r="F99" s="171">
        <f>IFERROR('Cashflow raw data'!H22,0)</f>
        <v>36</v>
      </c>
      <c r="G99" s="171">
        <f>IFERROR('Cashflow raw data'!I22,0)</f>
        <v>29</v>
      </c>
      <c r="H99" s="171">
        <f>IFERROR('Cashflow raw data'!J22,0)</f>
        <v>38</v>
      </c>
      <c r="I99" s="171">
        <f>IFERROR('Cashflow raw data'!K22,0)</f>
        <v>6</v>
      </c>
      <c r="J99" s="171">
        <f>IFERROR('Cashflow raw data'!L22,0)</f>
        <v>11</v>
      </c>
      <c r="K99" s="171">
        <f>IFERROR('Cashflow raw data'!M22,0)</f>
        <v>47</v>
      </c>
      <c r="L99" s="171">
        <f>IFERROR('Cashflow raw data'!N22,0)</f>
        <v>97</v>
      </c>
    </row>
    <row r="100" spans="2:12" x14ac:dyDescent="0.25">
      <c r="B100" t="s">
        <v>145</v>
      </c>
      <c r="C100" s="171">
        <f>IFERROR('Cashflow raw data'!E23,0)</f>
        <v>0</v>
      </c>
      <c r="D100" s="171">
        <f>IFERROR('Cashflow raw data'!F23,0)</f>
        <v>389</v>
      </c>
      <c r="E100" s="171">
        <f>IFERROR('Cashflow raw data'!G23,0)</f>
        <v>495</v>
      </c>
      <c r="F100" s="171">
        <f>IFERROR('Cashflow raw data'!H23,0)</f>
        <v>369</v>
      </c>
      <c r="G100" s="171">
        <f>IFERROR('Cashflow raw data'!I23,0)</f>
        <v>267</v>
      </c>
      <c r="H100" s="171">
        <f>IFERROR('Cashflow raw data'!J23,0)</f>
        <v>40</v>
      </c>
      <c r="I100" s="171">
        <f>IFERROR('Cashflow raw data'!K23,0)</f>
        <v>32</v>
      </c>
      <c r="J100" s="171">
        <f>IFERROR('Cashflow raw data'!L23,0)</f>
        <v>202</v>
      </c>
      <c r="K100" s="171">
        <f>IFERROR('Cashflow raw data'!M23,0)</f>
        <v>322</v>
      </c>
      <c r="L100" s="171">
        <f>IFERROR('Cashflow raw data'!N23,0)</f>
        <v>38</v>
      </c>
    </row>
    <row r="101" spans="2:12" x14ac:dyDescent="0.25">
      <c r="B101" t="s">
        <v>146</v>
      </c>
      <c r="C101" s="171">
        <f>IFERROR('Cashflow raw data'!E24,0)</f>
        <v>0</v>
      </c>
      <c r="D101" s="171">
        <f>IFERROR('Cashflow raw data'!F24,0)</f>
        <v>-345</v>
      </c>
      <c r="E101" s="171">
        <f>IFERROR('Cashflow raw data'!G24,0)</f>
        <v>-456</v>
      </c>
      <c r="F101" s="171">
        <f>IFERROR('Cashflow raw data'!H24,0)</f>
        <v>-344</v>
      </c>
      <c r="G101" s="171">
        <f>IFERROR('Cashflow raw data'!I24,0)</f>
        <v>-298</v>
      </c>
      <c r="H101" s="171">
        <f>IFERROR('Cashflow raw data'!J24,0)</f>
        <v>-27</v>
      </c>
      <c r="I101" s="171">
        <f>IFERROR('Cashflow raw data'!K24,0)</f>
        <v>-137</v>
      </c>
      <c r="J101" s="171">
        <f>IFERROR('Cashflow raw data'!L24,0)</f>
        <v>-20</v>
      </c>
      <c r="K101" s="171">
        <f>IFERROR('Cashflow raw data'!M24,0)</f>
        <v>-127</v>
      </c>
      <c r="L101" s="171">
        <f>IFERROR('Cashflow raw data'!N24,0)</f>
        <v>-43</v>
      </c>
    </row>
    <row r="102" spans="2:12" x14ac:dyDescent="0.25">
      <c r="B102" t="s">
        <v>147</v>
      </c>
      <c r="C102" s="171">
        <f>IFERROR('Cashflow raw data'!E25,0)</f>
        <v>-2</v>
      </c>
      <c r="D102" s="171">
        <f>IFERROR('Cashflow raw data'!F25,0)</f>
        <v>-2</v>
      </c>
      <c r="E102" s="171">
        <f>IFERROR('Cashflow raw data'!G25,0)</f>
        <v>-3</v>
      </c>
      <c r="F102" s="171">
        <f>IFERROR('Cashflow raw data'!H25,0)</f>
        <v>-5</v>
      </c>
      <c r="G102" s="171">
        <f>IFERROR('Cashflow raw data'!I25,0)</f>
        <v>-8</v>
      </c>
      <c r="H102" s="171">
        <f>IFERROR('Cashflow raw data'!J25,0)</f>
        <v>-16</v>
      </c>
      <c r="I102" s="171">
        <f>IFERROR('Cashflow raw data'!K25,0)</f>
        <v>-19</v>
      </c>
      <c r="J102" s="171">
        <f>IFERROR('Cashflow raw data'!L25,0)</f>
        <v>-18</v>
      </c>
      <c r="K102" s="171">
        <f>IFERROR('Cashflow raw data'!M25,0)</f>
        <v>-35</v>
      </c>
      <c r="L102" s="171">
        <f>IFERROR('Cashflow raw data'!N25,0)</f>
        <v>-37</v>
      </c>
    </row>
    <row r="103" spans="2:12" x14ac:dyDescent="0.25">
      <c r="B103" t="s">
        <v>148</v>
      </c>
      <c r="C103" s="171">
        <f>IFERROR('Cashflow raw data'!E26,0)</f>
        <v>-407</v>
      </c>
      <c r="D103" s="171">
        <f>IFERROR('Cashflow raw data'!F26,0)</f>
        <v>0</v>
      </c>
      <c r="E103" s="171">
        <f>IFERROR('Cashflow raw data'!G26,0)</f>
        <v>-272</v>
      </c>
      <c r="F103" s="171">
        <f>IFERROR('Cashflow raw data'!H26,0)</f>
        <v>-300</v>
      </c>
      <c r="G103" s="171">
        <f>IFERROR('Cashflow raw data'!I26,0)</f>
        <v>-682</v>
      </c>
      <c r="H103" s="171">
        <f>IFERROR('Cashflow raw data'!J26,0)</f>
        <v>0</v>
      </c>
      <c r="I103" s="171">
        <f>IFERROR('Cashflow raw data'!K26,0)</f>
        <v>-465</v>
      </c>
      <c r="J103" s="171">
        <f>IFERROR('Cashflow raw data'!L26,0)</f>
        <v>-574</v>
      </c>
      <c r="K103" s="171">
        <f>IFERROR('Cashflow raw data'!M26,0)</f>
        <v>-1013</v>
      </c>
      <c r="L103" s="171">
        <f>IFERROR('Cashflow raw data'!N26,0)</f>
        <v>-1397</v>
      </c>
    </row>
    <row r="104" spans="2:12" x14ac:dyDescent="0.25">
      <c r="B104" t="s">
        <v>149</v>
      </c>
      <c r="C104" s="171">
        <f>IFERROR('Cashflow raw data'!E27,0)</f>
        <v>0</v>
      </c>
      <c r="D104" s="171">
        <f>IFERROR('Cashflow raw data'!F27,0)</f>
        <v>0</v>
      </c>
      <c r="E104" s="171">
        <f>IFERROR('Cashflow raw data'!G27,0)</f>
        <v>0</v>
      </c>
      <c r="F104" s="171">
        <f>IFERROR('Cashflow raw data'!H27,0)</f>
        <v>0</v>
      </c>
      <c r="G104" s="171">
        <f>IFERROR('Cashflow raw data'!I27,0)</f>
        <v>-40</v>
      </c>
      <c r="H104" s="171">
        <f>IFERROR('Cashflow raw data'!J27,0)</f>
        <v>-39</v>
      </c>
      <c r="I104" s="171">
        <f>IFERROR('Cashflow raw data'!K27,0)</f>
        <v>-17</v>
      </c>
      <c r="J104" s="171">
        <f>IFERROR('Cashflow raw data'!L27,0)</f>
        <v>-19</v>
      </c>
      <c r="K104" s="171">
        <f>IFERROR('Cashflow raw data'!M27,0)</f>
        <v>-37</v>
      </c>
      <c r="L104" s="171">
        <f>IFERROR('Cashflow raw data'!N27,0)</f>
        <v>-56</v>
      </c>
    </row>
    <row r="105" spans="2:12" x14ac:dyDescent="0.25">
      <c r="B105" t="s">
        <v>150</v>
      </c>
      <c r="C105" s="183">
        <f>IFERROR('Cashflow raw data'!E28,0)</f>
        <v>-61</v>
      </c>
      <c r="D105" s="183">
        <f>IFERROR('Cashflow raw data'!F28,0)</f>
        <v>-23</v>
      </c>
      <c r="E105" s="183">
        <f>IFERROR('Cashflow raw data'!G28,0)</f>
        <v>-45</v>
      </c>
      <c r="F105" s="183">
        <f>IFERROR('Cashflow raw data'!H28,0)</f>
        <v>-48</v>
      </c>
      <c r="G105" s="183">
        <f>IFERROR('Cashflow raw data'!I28,0)</f>
        <v>-126</v>
      </c>
      <c r="H105" s="183">
        <f>IFERROR('Cashflow raw data'!J28,0)</f>
        <v>-11</v>
      </c>
      <c r="I105" s="183">
        <f>IFERROR('Cashflow raw data'!K28,0)</f>
        <v>5</v>
      </c>
      <c r="J105" s="183">
        <f>IFERROR('Cashflow raw data'!L28,0)</f>
        <v>0</v>
      </c>
      <c r="K105" s="183">
        <f>IFERROR('Cashflow raw data'!M28,0)</f>
        <v>0</v>
      </c>
      <c r="L105" s="183">
        <f>IFERROR('Cashflow raw data'!N28,0)</f>
        <v>0</v>
      </c>
    </row>
    <row r="106" spans="2:12" ht="15.75" thickBot="1" x14ac:dyDescent="0.3">
      <c r="B106" s="80" t="s">
        <v>156</v>
      </c>
      <c r="C106" s="182">
        <f>SUM(C99:C105)</f>
        <v>-465</v>
      </c>
      <c r="D106" s="182">
        <f t="shared" ref="D106:L106" si="26">SUM(D99:D105)</f>
        <v>25</v>
      </c>
      <c r="E106" s="182">
        <f t="shared" si="26"/>
        <v>-262</v>
      </c>
      <c r="F106" s="182">
        <f t="shared" si="26"/>
        <v>-292</v>
      </c>
      <c r="G106" s="182">
        <f t="shared" si="26"/>
        <v>-858</v>
      </c>
      <c r="H106" s="182">
        <f t="shared" si="26"/>
        <v>-15</v>
      </c>
      <c r="I106" s="182">
        <f t="shared" si="26"/>
        <v>-595</v>
      </c>
      <c r="J106" s="182">
        <f t="shared" si="26"/>
        <v>-418</v>
      </c>
      <c r="K106" s="182">
        <f t="shared" si="26"/>
        <v>-843</v>
      </c>
      <c r="L106" s="182">
        <f t="shared" si="26"/>
        <v>-1398</v>
      </c>
    </row>
    <row r="108" spans="2:12" ht="15.75" thickBot="1" x14ac:dyDescent="0.3">
      <c r="B108" s="93" t="s">
        <v>157</v>
      </c>
      <c r="C108" s="93">
        <f>IFERROR(SUM(C85,C96,C106),0)</f>
        <v>259</v>
      </c>
      <c r="D108" s="93">
        <f t="shared" ref="D108:L108" si="27">IFERROR(SUM(D85,D96,D106),0)</f>
        <v>152</v>
      </c>
      <c r="E108" s="93">
        <f t="shared" si="27"/>
        <v>516</v>
      </c>
      <c r="F108" s="93">
        <f t="shared" si="27"/>
        <v>166</v>
      </c>
      <c r="G108" s="93">
        <f t="shared" si="27"/>
        <v>-587</v>
      </c>
      <c r="H108" s="93">
        <f t="shared" si="27"/>
        <v>285</v>
      </c>
      <c r="I108" s="93">
        <f t="shared" si="27"/>
        <v>-184</v>
      </c>
      <c r="J108" s="93">
        <f t="shared" si="27"/>
        <v>75</v>
      </c>
      <c r="K108" s="93">
        <f t="shared" si="27"/>
        <v>434</v>
      </c>
      <c r="L108" s="93">
        <f t="shared" si="27"/>
        <v>333</v>
      </c>
    </row>
    <row r="109" spans="2:12" ht="15.75" thickTop="1" x14ac:dyDescent="0.25"/>
  </sheetData>
  <sheetProtection algorithmName="SHA-512" hashValue="BjNv6tRKCD/IjE6L/UKGtuzOV0YatMZOdW3hdvjIEU32NRRwc5U4E3TU+840/spkYNiJUiTR/qFmO+5fMimQmw==" saltValue="/KvMvFVchCBZbgiIugd8rQ==" spinCount="100000" sheet="1" objects="1" scenarios="1"/>
  <mergeCells count="2">
    <mergeCell ref="B2:M2"/>
    <mergeCell ref="B5:M5"/>
  </mergeCells>
  <pageMargins left="0.7" right="0.7" top="0.75" bottom="0.75" header="0.3" footer="0.3"/>
  <pageSetup orientation="portrait" r:id="rId1"/>
  <ignoredErrors>
    <ignoredError sqref="M6 M9 C15:D15 F15 E15 G15:L15 M20 M23 M32 M35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9F23-80E8-42E8-AAC8-B2CD783B3130}">
  <dimension ref="B1:L17"/>
  <sheetViews>
    <sheetView showGridLines="0" workbookViewId="0">
      <selection activeCell="H9" sqref="H9"/>
    </sheetView>
  </sheetViews>
  <sheetFormatPr defaultRowHeight="15" x14ac:dyDescent="0.25"/>
  <cols>
    <col min="1" max="1" width="1.85546875" customWidth="1"/>
    <col min="2" max="2" width="29.140625" bestFit="1" customWidth="1"/>
    <col min="3" max="12" width="10" style="57" customWidth="1"/>
    <col min="13" max="13" width="8.85546875" customWidth="1"/>
  </cols>
  <sheetData>
    <row r="1" spans="2:12" x14ac:dyDescent="0.25">
      <c r="B1" s="228" t="s">
        <v>334</v>
      </c>
      <c r="C1" s="228"/>
      <c r="D1" s="228"/>
      <c r="E1" s="228"/>
      <c r="F1" s="228"/>
      <c r="G1" s="228"/>
      <c r="H1" s="228"/>
      <c r="I1" s="228"/>
      <c r="J1" s="228"/>
      <c r="K1" s="228"/>
      <c r="L1" s="228"/>
    </row>
    <row r="2" spans="2:12" x14ac:dyDescent="0.25"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</row>
    <row r="4" spans="2:12" x14ac:dyDescent="0.25">
      <c r="B4" s="229" t="s">
        <v>333</v>
      </c>
      <c r="C4" s="230">
        <f>HistoricalIFS!C3</f>
        <v>42460</v>
      </c>
      <c r="D4" s="230">
        <f>HistoricalIFS!D3</f>
        <v>42825</v>
      </c>
      <c r="E4" s="230">
        <f>HistoricalIFS!E3</f>
        <v>43190</v>
      </c>
      <c r="F4" s="230">
        <f>HistoricalIFS!F3</f>
        <v>43555</v>
      </c>
      <c r="G4" s="230">
        <f>HistoricalIFS!G3</f>
        <v>43921</v>
      </c>
      <c r="H4" s="230">
        <f>HistoricalIFS!H3</f>
        <v>44286</v>
      </c>
      <c r="I4" s="230">
        <f>HistoricalIFS!I3</f>
        <v>44651</v>
      </c>
      <c r="J4" s="230">
        <f>HistoricalIFS!J3</f>
        <v>45016</v>
      </c>
      <c r="K4" s="230">
        <f>HistoricalIFS!K3</f>
        <v>45382</v>
      </c>
      <c r="L4" s="230">
        <f>HistoricalIFS!L3</f>
        <v>45747</v>
      </c>
    </row>
    <row r="5" spans="2:12" x14ac:dyDescent="0.25">
      <c r="B5" t="s">
        <v>6</v>
      </c>
      <c r="C5" s="224">
        <f>IFERROR(HistoricalIFS!C6/HistoricalIFS!C6,0)</f>
        <v>1</v>
      </c>
      <c r="D5" s="224">
        <f>IFERROR(HistoricalIFS!D6/HistoricalIFS!D6,0)</f>
        <v>1</v>
      </c>
      <c r="E5" s="224">
        <f>IFERROR(HistoricalIFS!E6/HistoricalIFS!E6,0)</f>
        <v>1</v>
      </c>
      <c r="F5" s="224">
        <f>IFERROR(HistoricalIFS!F6/HistoricalIFS!F6,0)</f>
        <v>1</v>
      </c>
      <c r="G5" s="224">
        <f>IFERROR(HistoricalIFS!G6/HistoricalIFS!G6,0)</f>
        <v>1</v>
      </c>
      <c r="H5" s="224">
        <f>IFERROR(HistoricalIFS!H6/HistoricalIFS!H6,0)</f>
        <v>1</v>
      </c>
      <c r="I5" s="224">
        <f>IFERROR(HistoricalIFS!I6/HistoricalIFS!I6,0)</f>
        <v>1</v>
      </c>
      <c r="J5" s="224">
        <f>IFERROR(HistoricalIFS!J6/HistoricalIFS!J6,0)</f>
        <v>1</v>
      </c>
      <c r="K5" s="224">
        <f>IFERROR(HistoricalIFS!K6/HistoricalIFS!K6,0)</f>
        <v>1</v>
      </c>
      <c r="L5" s="224">
        <f>IFERROR(HistoricalIFS!L6/HistoricalIFS!L6,0)</f>
        <v>1</v>
      </c>
    </row>
    <row r="6" spans="2:12" x14ac:dyDescent="0.25">
      <c r="B6" t="s">
        <v>98</v>
      </c>
      <c r="C6" s="224">
        <f>IFERROR(HistoricalIFS!C9/HistoricalIFS!C6,0)</f>
        <v>0.64887923465933206</v>
      </c>
      <c r="D6" s="224">
        <f>IFERROR(HistoricalIFS!D9/HistoricalIFS!D6,0)</f>
        <v>0.6186943367039367</v>
      </c>
      <c r="E6" s="224">
        <f>IFERROR(HistoricalIFS!E9/HistoricalIFS!E6,0)</f>
        <v>0.6114974299941105</v>
      </c>
      <c r="F6" s="224">
        <f>IFERROR(HistoricalIFS!F9/HistoricalIFS!F6,0)</f>
        <v>0.62185696525284129</v>
      </c>
      <c r="G6" s="224">
        <f>IFERROR(HistoricalIFS!G9/HistoricalIFS!G6,0)</f>
        <v>0.66792336987277101</v>
      </c>
      <c r="H6" s="224">
        <f>IFERROR(HistoricalIFS!H9/HistoricalIFS!H6,0)</f>
        <v>0.71797691606414882</v>
      </c>
      <c r="I6" s="224">
        <f>IFERROR(HistoricalIFS!I9/HistoricalIFS!I6,0)</f>
        <v>0.6960592668552501</v>
      </c>
      <c r="J6" s="224">
        <f>IFERROR(HistoricalIFS!J9/HistoricalIFS!J6,0)</f>
        <v>0.67094441420893514</v>
      </c>
      <c r="K6" s="224">
        <f>IFERROR(HistoricalIFS!K9/HistoricalIFS!K6,0)</f>
        <v>0.64714092712892901</v>
      </c>
      <c r="L6" s="224">
        <f>IFERROR(HistoricalIFS!L9/HistoricalIFS!L6,0)</f>
        <v>0.64869544020116221</v>
      </c>
    </row>
    <row r="7" spans="2:12" x14ac:dyDescent="0.25">
      <c r="B7" s="84" t="s">
        <v>100</v>
      </c>
      <c r="C7" s="225">
        <f>IFERROR(HistoricalIFS!C12/HistoricalIFS!C6,0)</f>
        <v>0.351120765340668</v>
      </c>
      <c r="D7" s="225">
        <f>IFERROR(HistoricalIFS!D12/HistoricalIFS!D6,0)</f>
        <v>0.3813056632960633</v>
      </c>
      <c r="E7" s="225">
        <f>IFERROR(HistoricalIFS!E12/HistoricalIFS!E6,0)</f>
        <v>0.3885025700058895</v>
      </c>
      <c r="F7" s="225">
        <f>IFERROR(HistoricalIFS!F12/HistoricalIFS!F6,0)</f>
        <v>0.37814303474715871</v>
      </c>
      <c r="G7" s="225">
        <f>IFERROR(HistoricalIFS!G12/HistoricalIFS!G6,0)</f>
        <v>0.33207663012722899</v>
      </c>
      <c r="H7" s="225">
        <f>IFERROR(HistoricalIFS!H12/HistoricalIFS!H6,0)</f>
        <v>0.28202308393585118</v>
      </c>
      <c r="I7" s="225">
        <f>IFERROR(HistoricalIFS!I12/HistoricalIFS!I6,0)</f>
        <v>0.30394073314474995</v>
      </c>
      <c r="J7" s="225">
        <f>IFERROR(HistoricalIFS!J12/HistoricalIFS!J6,0)</f>
        <v>0.32905558579106481</v>
      </c>
      <c r="K7" s="225">
        <f>IFERROR(HistoricalIFS!K12/HistoricalIFS!K6,0)</f>
        <v>0.35285907287107099</v>
      </c>
      <c r="L7" s="225">
        <f>IFERROR(HistoricalIFS!L12/HistoricalIFS!L6,0)</f>
        <v>0.35130455979883779</v>
      </c>
    </row>
    <row r="8" spans="2:12" x14ac:dyDescent="0.25">
      <c r="B8" t="s">
        <v>102</v>
      </c>
      <c r="C8" s="224">
        <f>IFERROR(HistoricalIFS!C15/HistoricalIFS!C6,0)</f>
        <v>7.7412018543895969E-2</v>
      </c>
      <c r="D8" s="224">
        <f>IFERROR(HistoricalIFS!D15/HistoricalIFS!D6,0)</f>
        <v>7.2163233504327948E-2</v>
      </c>
      <c r="E8" s="224">
        <f>IFERROR(HistoricalIFS!E15/HistoricalIFS!E6,0)</f>
        <v>7.5212828612732235E-2</v>
      </c>
      <c r="F8" s="224">
        <f>IFERROR(HistoricalIFS!F15/HistoricalIFS!F6,0)</f>
        <v>8.1703082353277418E-2</v>
      </c>
      <c r="G8" s="224">
        <f>IFERROR(HistoricalIFS!G15/HistoricalIFS!G6,0)</f>
        <v>9.3602721558122604E-2</v>
      </c>
      <c r="H8" s="224">
        <f>IFERROR(HistoricalIFS!H15/HistoricalIFS!H6,0)</f>
        <v>7.7532438491574304E-2</v>
      </c>
      <c r="I8" s="224">
        <f>IFERROR(HistoricalIFS!I15/HistoricalIFS!I6,0)</f>
        <v>9.2481619914098409E-2</v>
      </c>
      <c r="J8" s="224">
        <f>IFERROR(HistoricalIFS!J15/HistoricalIFS!J6,0)</f>
        <v>9.046833649767555E-2</v>
      </c>
      <c r="K8" s="224">
        <f>IFERROR(HistoricalIFS!K15/HistoricalIFS!K6,0)</f>
        <v>9.1040761306693738E-2</v>
      </c>
      <c r="L8" s="224">
        <f>IFERROR(HistoricalIFS!L15/HistoricalIFS!L6,0)</f>
        <v>0.10104052124099448</v>
      </c>
    </row>
    <row r="9" spans="2:12" x14ac:dyDescent="0.25">
      <c r="B9" s="84" t="s">
        <v>103</v>
      </c>
      <c r="C9" s="225">
        <f>IFERROR(HistoricalIFS!C17/HistoricalIFS!C6,0)</f>
        <v>0.27370874679677198</v>
      </c>
      <c r="D9" s="225">
        <f>IFERROR(HistoricalIFS!D17/HistoricalIFS!D6,0)</f>
        <v>0.30914242979173534</v>
      </c>
      <c r="E9" s="225">
        <f>IFERROR(HistoricalIFS!E17/HistoricalIFS!E6,0)</f>
        <v>0.31328974139315729</v>
      </c>
      <c r="F9" s="225">
        <f>IFERROR(HistoricalIFS!F17/HistoricalIFS!F6,0)</f>
        <v>0.29643995239388132</v>
      </c>
      <c r="G9" s="225">
        <f>IFERROR(HistoricalIFS!G17/HistoricalIFS!G6,0)</f>
        <v>0.23847390856910633</v>
      </c>
      <c r="H9" s="225">
        <f>IFERROR(HistoricalIFS!H17/HistoricalIFS!H6,0)</f>
        <v>0.20449064544427689</v>
      </c>
      <c r="I9" s="225">
        <f>IFERROR(HistoricalIFS!I17/HistoricalIFS!I6,0)</f>
        <v>0.21145911323065153</v>
      </c>
      <c r="J9" s="225">
        <f>IFERROR(HistoricalIFS!J17/HistoricalIFS!J6,0)</f>
        <v>0.23858724929338926</v>
      </c>
      <c r="K9" s="225">
        <f>IFERROR(HistoricalIFS!K17/HistoricalIFS!K6,0)</f>
        <v>0.26181831156437724</v>
      </c>
      <c r="L9" s="225">
        <f>IFERROR(HistoricalIFS!L17/HistoricalIFS!L6,0)</f>
        <v>0.25026403855784329</v>
      </c>
    </row>
    <row r="10" spans="2:12" x14ac:dyDescent="0.25">
      <c r="B10" t="s">
        <v>105</v>
      </c>
      <c r="C10" s="224">
        <f>IFERROR(HistoricalIFS!C20/HistoricalIFS!C6,0)</f>
        <v>3.4340548088106183E-4</v>
      </c>
      <c r="D10" s="224">
        <f>IFERROR(HistoricalIFS!D20/HistoricalIFS!D6,0)</f>
        <v>5.061592183536745E-4</v>
      </c>
      <c r="E10" s="224">
        <f>IFERROR(HistoricalIFS!E20/HistoricalIFS!E6,0)</f>
        <v>5.9565240670343212E-4</v>
      </c>
      <c r="F10" s="224">
        <f>IFERROR(HistoricalIFS!F20/HistoricalIFS!F6,0)</f>
        <v>7.48183638765099E-4</v>
      </c>
      <c r="G10" s="224">
        <f>IFERROR(HistoricalIFS!G20/HistoricalIFS!G6,0)</f>
        <v>2.0625809792452787E-3</v>
      </c>
      <c r="H10" s="224">
        <f>IFERROR(HistoricalIFS!H20/HistoricalIFS!H6,0)</f>
        <v>1.8863921746260183E-3</v>
      </c>
      <c r="I10" s="224">
        <f>IFERROR(HistoricalIFS!I20/HistoricalIFS!I6,0)</f>
        <v>1.8236851841601581E-3</v>
      </c>
      <c r="J10" s="224">
        <f>IFERROR(HistoricalIFS!J20/HistoricalIFS!J6,0)</f>
        <v>1.9401503097177849E-3</v>
      </c>
      <c r="K10" s="224">
        <f>IFERROR(HistoricalIFS!K20/HistoricalIFS!K6,0)</f>
        <v>3.0769640137931205E-3</v>
      </c>
      <c r="L10" s="224">
        <f>IFERROR(HistoricalIFS!L20/HistoricalIFS!L6,0)</f>
        <v>2.8796498210155088E-3</v>
      </c>
    </row>
    <row r="11" spans="2:12" x14ac:dyDescent="0.25">
      <c r="B11" t="s">
        <v>10</v>
      </c>
      <c r="C11" s="224">
        <f>IFERROR(HistoricalIFS!C23/HistoricalIFS!C6,0)</f>
        <v>2.2126975796392945E-2</v>
      </c>
      <c r="D11" s="224">
        <f>IFERROR(HistoricalIFS!D23/HistoricalIFS!D6,0)</f>
        <v>2.186863746488165E-2</v>
      </c>
      <c r="E11" s="224">
        <f>IFERROR(HistoricalIFS!E23/HistoricalIFS!E6,0)</f>
        <v>2.4908086594920671E-2</v>
      </c>
      <c r="F11" s="224">
        <f>IFERROR(HistoricalIFS!F23/HistoricalIFS!F6,0)</f>
        <v>3.0650011329929588E-2</v>
      </c>
      <c r="G11" s="224">
        <f>IFERROR(HistoricalIFS!G23/HistoricalIFS!G6,0)</f>
        <v>4.1682052268074352E-2</v>
      </c>
      <c r="H11" s="224">
        <f>IFERROR(HistoricalIFS!H23/HistoricalIFS!H6,0)</f>
        <v>5.1687145584752903E-2</v>
      </c>
      <c r="I11" s="224">
        <f>IFERROR(HistoricalIFS!I23/HistoricalIFS!I6,0)</f>
        <v>4.3885944902955283E-2</v>
      </c>
      <c r="J11" s="224">
        <f>IFERROR(HistoricalIFS!J23/HistoricalIFS!J6,0)</f>
        <v>3.643563506340456E-2</v>
      </c>
      <c r="K11" s="224">
        <f>IFERROR(HistoricalIFS!K23/HistoricalIFS!K6,0)</f>
        <v>3.6139813180872025E-2</v>
      </c>
      <c r="L11" s="224">
        <f>IFERROR(HistoricalIFS!L23/HistoricalIFS!L6,0)</f>
        <v>3.8649521603997809E-2</v>
      </c>
    </row>
    <row r="12" spans="2:12" x14ac:dyDescent="0.25">
      <c r="B12" s="84" t="s">
        <v>220</v>
      </c>
      <c r="C12" s="225">
        <f>IFERROR(HistoricalIFS!C26/HistoricalIFS!C6,0)</f>
        <v>0.25158177100037904</v>
      </c>
      <c r="D12" s="225">
        <f>IFERROR(HistoricalIFS!D26/HistoricalIFS!D6,0)</f>
        <v>0.28727379232685368</v>
      </c>
      <c r="E12" s="225">
        <f>IFERROR(HistoricalIFS!E26/HistoricalIFS!E6,0)</f>
        <v>0.28838165479823663</v>
      </c>
      <c r="F12" s="225">
        <f>IFERROR(HistoricalIFS!F26/HistoricalIFS!F6,0)</f>
        <v>0.26578994106395176</v>
      </c>
      <c r="G12" s="225">
        <f>IFERROR(HistoricalIFS!G26/HistoricalIFS!G6,0)</f>
        <v>0.19679185630103199</v>
      </c>
      <c r="H12" s="225">
        <f>IFERROR(HistoricalIFS!H26/HistoricalIFS!H6,0)</f>
        <v>0.15280349985952399</v>
      </c>
      <c r="I12" s="225">
        <f>IFERROR(HistoricalIFS!I26/HistoricalIFS!I6,0)</f>
        <v>0.16757316832769623</v>
      </c>
      <c r="J12" s="225">
        <f>IFERROR(HistoricalIFS!J26/HistoricalIFS!J6,0)</f>
        <v>0.20215161422998471</v>
      </c>
      <c r="K12" s="225">
        <f>IFERROR(HistoricalIFS!K26/HistoricalIFS!K6,0)</f>
        <v>0.2256784983835052</v>
      </c>
      <c r="L12" s="225">
        <f>IFERROR(HistoricalIFS!L26/HistoricalIFS!L6,0)</f>
        <v>0.21161451695384551</v>
      </c>
    </row>
    <row r="13" spans="2:12" x14ac:dyDescent="0.25">
      <c r="B13" t="s">
        <v>108</v>
      </c>
      <c r="C13" s="224">
        <f>IFERROR(HistoricalIFS!C29/HistoricalIFS!C6,0)</f>
        <v>0.25123836551949796</v>
      </c>
      <c r="D13" s="224">
        <f>IFERROR(HistoricalIFS!D29/HistoricalIFS!D6,0)</f>
        <v>0.28676763310850001</v>
      </c>
      <c r="E13" s="224">
        <f>IFERROR(HistoricalIFS!E29/HistoricalIFS!E6,0)</f>
        <v>0.28778600239153324</v>
      </c>
      <c r="F13" s="224">
        <f>IFERROR(HistoricalIFS!F29/HistoricalIFS!F6,0)</f>
        <v>0.26504175742518665</v>
      </c>
      <c r="G13" s="224">
        <f>IFERROR(HistoricalIFS!G29/HistoricalIFS!G6,0)</f>
        <v>0.19472927532178669</v>
      </c>
      <c r="H13" s="224">
        <f>IFERROR(HistoricalIFS!H29/HistoricalIFS!H6,0)</f>
        <v>0.15091710768489797</v>
      </c>
      <c r="I13" s="224">
        <f>IFERROR(HistoricalIFS!I29/HistoricalIFS!I6,0)</f>
        <v>0.16574948314353607</v>
      </c>
      <c r="J13" s="224">
        <f>IFERROR(HistoricalIFS!J29/HistoricalIFS!J6,0)</f>
        <v>0.20021146392026692</v>
      </c>
      <c r="K13" s="224">
        <f>IFERROR(HistoricalIFS!K29/HistoricalIFS!K6,0)</f>
        <v>0.22260153436971206</v>
      </c>
      <c r="L13" s="224">
        <f>IFERROR(HistoricalIFS!L29/HistoricalIFS!L6,0)</f>
        <v>0.20873486713282999</v>
      </c>
    </row>
    <row r="14" spans="2:12" x14ac:dyDescent="0.25">
      <c r="B14" t="s">
        <v>9</v>
      </c>
      <c r="C14" s="224">
        <f>IFERROR(HistoricalIFS!C32/HistoricalIFS!C6,0)</f>
        <v>5.2792113336767393E-2</v>
      </c>
      <c r="D14" s="224">
        <f>IFERROR(HistoricalIFS!D32/HistoricalIFS!D6,0)</f>
        <v>5.9209254182922534E-2</v>
      </c>
      <c r="E14" s="224">
        <f>IFERROR(HistoricalIFS!E32/HistoricalIFS!E6,0)</f>
        <v>5.9750406025236034E-2</v>
      </c>
      <c r="F14" s="224">
        <f>IFERROR(HistoricalIFS!F32/HistoricalIFS!F6,0)</f>
        <v>7.151737357942077E-2</v>
      </c>
      <c r="G14" s="224">
        <f>IFERROR(HistoricalIFS!G32/HistoricalIFS!G6,0)</f>
        <v>6.2535095558240592E-2</v>
      </c>
      <c r="H14" s="224">
        <f>IFERROR(HistoricalIFS!H32/HistoricalIFS!H6,0)</f>
        <v>5.5312000091739429E-2</v>
      </c>
      <c r="I14" s="224">
        <f>IFERROR(HistoricalIFS!I32/HistoricalIFS!I6,0)</f>
        <v>4.8131499548934094E-2</v>
      </c>
      <c r="J14" s="224">
        <f>IFERROR(HistoricalIFS!J32/HistoricalIFS!J6,0)</f>
        <v>6.2881088589118811E-2</v>
      </c>
      <c r="K14" s="224">
        <f>IFERROR(HistoricalIFS!K32/HistoricalIFS!K6,0)</f>
        <v>9.1990217576673139E-2</v>
      </c>
      <c r="L14" s="224">
        <f>IFERROR(HistoricalIFS!L32/HistoricalIFS!L6,0)</f>
        <v>0.1056774251669948</v>
      </c>
    </row>
    <row r="15" spans="2:12" x14ac:dyDescent="0.25">
      <c r="B15" t="s">
        <v>13</v>
      </c>
      <c r="C15" s="224">
        <f>IFERROR(HistoricalIFS!C35/HistoricalIFS!C6,0)</f>
        <v>8.7289785630748393E-2</v>
      </c>
      <c r="D15" s="224">
        <f>IFERROR(HistoricalIFS!D35/HistoricalIFS!D6,0)</f>
        <v>0.10241193398318869</v>
      </c>
      <c r="E15" s="224">
        <f>IFERROR(HistoricalIFS!E35/HistoricalIFS!E6,0)</f>
        <v>0.10439868108725528</v>
      </c>
      <c r="F15" s="224">
        <f>IFERROR(HistoricalIFS!F35/HistoricalIFS!F6,0)</f>
        <v>0.10993502132272336</v>
      </c>
      <c r="G15" s="224">
        <f>IFERROR(HistoricalIFS!G35/HistoricalIFS!G6,0)</f>
        <v>5.7622263638925975E-2</v>
      </c>
      <c r="H15" s="224">
        <f>IFERROR(HistoricalIFS!H35/HistoricalIFS!H6,0)</f>
        <v>5.1775444792926888E-2</v>
      </c>
      <c r="I15" s="224">
        <f>IFERROR(HistoricalIFS!I35/HistoricalIFS!I6,0)</f>
        <v>5.1069982705094177E-2</v>
      </c>
      <c r="J15" s="224">
        <f>IFERROR(HistoricalIFS!J35/HistoricalIFS!J6,0)</f>
        <v>6.1326614126122239E-2</v>
      </c>
      <c r="K15" s="224">
        <f>IFERROR(HistoricalIFS!K35/HistoricalIFS!K6,0)</f>
        <v>7.2630985656558081E-2</v>
      </c>
      <c r="L15" s="224">
        <f>IFERROR(HistoricalIFS!L35/HistoricalIFS!L6,0)</f>
        <v>6.3519224603677205E-2</v>
      </c>
    </row>
    <row r="16" spans="2:12" ht="15.75" thickBot="1" x14ac:dyDescent="0.3">
      <c r="B16" s="226" t="s">
        <v>112</v>
      </c>
      <c r="C16" s="227">
        <f>IFERROR(HistoricalIFS!C38/HistoricalIFS!C6,0)</f>
        <v>0.21674069322551695</v>
      </c>
      <c r="D16" s="227">
        <f>IFERROR(HistoricalIFS!D38/HistoricalIFS!D6,0)</f>
        <v>0.24356495330823388</v>
      </c>
      <c r="E16" s="227">
        <f>IFERROR(HistoricalIFS!E38/HistoricalIFS!E6,0)</f>
        <v>0.24313772732951397</v>
      </c>
      <c r="F16" s="227">
        <f>IFERROR(HistoricalIFS!F38/HistoricalIFS!F6,0)</f>
        <v>0.22662410968188404</v>
      </c>
      <c r="G16" s="227">
        <f>IFERROR(HistoricalIFS!G38/HistoricalIFS!G6,0)</f>
        <v>0.19964210724110132</v>
      </c>
      <c r="H16" s="227">
        <f>IFERROR(HistoricalIFS!H38/HistoricalIFS!H6,0)</f>
        <v>0.15445366298371049</v>
      </c>
      <c r="I16" s="227">
        <f>IFERROR(HistoricalIFS!I38/HistoricalIFS!I6,0)</f>
        <v>0.16281099998737603</v>
      </c>
      <c r="J16" s="227">
        <f>IFERROR(HistoricalIFS!J38/HistoricalIFS!J6,0)</f>
        <v>0.20176593838326351</v>
      </c>
      <c r="K16" s="227">
        <f>IFERROR(HistoricalIFS!K38/HistoricalIFS!K6,0)</f>
        <v>0.24196076628982707</v>
      </c>
      <c r="L16" s="227">
        <f>IFERROR(HistoricalIFS!L38/HistoricalIFS!L6,0)</f>
        <v>0.25089306769614755</v>
      </c>
    </row>
    <row r="17" ht="15.75" thickTop="1" x14ac:dyDescent="0.25"/>
  </sheetData>
  <sheetProtection algorithmName="SHA-512" hashValue="Zgf5hya3xbCQdUDxamh2lqThZMG92jsjm67g40vrs/5icjypLPIlHb7d9FG2oU7SejgUudsMmRtbXam8vwmV3w==" saltValue="0uQ8QGNXem0e1w704FOB6w==" spinCount="100000" sheet="1" objects="1" scenarios="1"/>
  <mergeCells count="1">
    <mergeCell ref="B1:L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Profit &amp; Loss</vt:lpstr>
      <vt:lpstr>Quarters</vt:lpstr>
      <vt:lpstr>Balance Sheet</vt:lpstr>
      <vt:lpstr>Cash Flow</vt:lpstr>
      <vt:lpstr>Customization</vt:lpstr>
      <vt:lpstr>Data Sheet</vt:lpstr>
      <vt:lpstr>Data</vt:lpstr>
      <vt:lpstr>Cashflow raw data</vt:lpstr>
      <vt:lpstr>Rm calculation </vt:lpstr>
      <vt:lpstr>Raw Data</vt:lpstr>
      <vt:lpstr>Ratio Analysis</vt:lpstr>
      <vt:lpstr>Forcasting</vt:lpstr>
      <vt:lpstr>WACC</vt:lpstr>
      <vt:lpstr>Intrinsic Rate</vt:lpstr>
      <vt:lpstr>Equity valuation</vt:lpstr>
      <vt:lpstr>HistoricalIFS</vt:lpstr>
      <vt:lpstr>Common size statement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Arun komple</cp:lastModifiedBy>
  <cp:lastPrinted>2026-04-18T17:02:37Z</cp:lastPrinted>
  <dcterms:created xsi:type="dcterms:W3CDTF">2012-08-17T09:55:37Z</dcterms:created>
  <dcterms:modified xsi:type="dcterms:W3CDTF">2026-04-19T06:58:51Z</dcterms:modified>
</cp:coreProperties>
</file>